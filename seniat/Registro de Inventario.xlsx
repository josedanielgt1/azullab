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gistro art. 177 RISLR" sheetId="1" state="visible" r:id="rId3"/>
    <sheet name="Inventario anual (C. Comercio)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<sst xmlns="http://schemas.openxmlformats.org/spreadsheetml/2006/main" count="71" uniqueCount="68">
  <si>
    <t xml:space="preserve">Registro de entradas y salidas de inventario (mensual)</t>
  </si>
  <si>
    <t xml:space="preserve">Base: Reglamento de la Ley de ISLR, art. 177: registro mensual de entradas y salidas de mercancía por unidades y valores, incluidos retiros y autoconsumo. Se lleva en el establecimiento.</t>
  </si>
  <si>
    <t xml:space="preserve">Contribuyente (razón social)</t>
  </si>
  <si>
    <t xml:space="preserve">Azullab Farmacia, C.A.</t>
  </si>
  <si>
    <t xml:space="preserve">RIF</t>
  </si>
  <si>
    <t xml:space="preserve">J-XXXXXXXX-X</t>
  </si>
  <si>
    <t xml:space="preserve">Período (mes y año)</t>
  </si>
  <si>
    <t xml:space="preserve">Octubre 2026</t>
  </si>
  <si>
    <t xml:space="preserve">Moneda</t>
  </si>
  <si>
    <t xml:space="preserve">Bolívares (Bs). Los libros se llevan en moneda nacional (COT art. 102, num. 8).</t>
  </si>
  <si>
    <t xml:space="preserve">Cómo llenarlo</t>
  </si>
  <si>
    <t xml:space="preserve">Una fila por producto y por mes. Escribe en azul la existencia inicial (la final del mes pasado), las compras del mes y las ventas y retiros en unidades. El costo promedio, las salidas en Bs y el inventario final se calculan solos. Total de entradas = cuenta de compras; total de salidas = costo de ventas.</t>
  </si>
  <si>
    <t xml:space="preserve">Código</t>
  </si>
  <si>
    <t xml:space="preserve">Descripción del producto</t>
  </si>
  <si>
    <t xml:space="preserve">Unidad</t>
  </si>
  <si>
    <t xml:space="preserve">Inv. inicial
cantidad</t>
  </si>
  <si>
    <t xml:space="preserve">Inv. inicial
costo unitario</t>
  </si>
  <si>
    <t xml:space="preserve">Inv. inicial
total</t>
  </si>
  <si>
    <t xml:space="preserve">Entradas (compras)
cantidad</t>
  </si>
  <si>
    <t xml:space="preserve">Entradas (compras)
total Bs</t>
  </si>
  <si>
    <t xml:space="preserve">Costo promedio del mes</t>
  </si>
  <si>
    <t xml:space="preserve">Salidas (ventas)
cantidad</t>
  </si>
  <si>
    <t xml:space="preserve">Salidas (ventas)
total Bs</t>
  </si>
  <si>
    <t xml:space="preserve">Retiros y autoconsumo
cantidad</t>
  </si>
  <si>
    <t xml:space="preserve">Retiros y autoconsumo
total Bs</t>
  </si>
  <si>
    <t xml:space="preserve">Inv. final
cantidad</t>
  </si>
  <si>
    <t xml:space="preserve">Inv. final
total Bs</t>
  </si>
  <si>
    <t xml:space="preserve">7591020311042</t>
  </si>
  <si>
    <t xml:space="preserve">Losartán potásico 50 mg, caja x 30 tab.</t>
  </si>
  <si>
    <t xml:space="preserve">Caja</t>
  </si>
  <si>
    <t xml:space="preserve">7591020322109</t>
  </si>
  <si>
    <t xml:space="preserve">Amoxicilina 500 mg, caja x 21 cáps.</t>
  </si>
  <si>
    <t xml:space="preserve">7590044001025</t>
  </si>
  <si>
    <t xml:space="preserve">Pedialyte 45 mEq, botella 500 ml</t>
  </si>
  <si>
    <t xml:space="preserve">7591056102233</t>
  </si>
  <si>
    <t xml:space="preserve">Pañales Huggies etapa 3, paquete x 30</t>
  </si>
  <si>
    <t xml:space="preserve">Paquete</t>
  </si>
  <si>
    <t xml:space="preserve">Totales del mes</t>
  </si>
  <si>
    <t xml:space="preserve">Comprobación: inventario inicial + entradas − salidas − retiros = inventario final</t>
  </si>
  <si>
    <t xml:space="preserve">Si la comprobación no da cero, hay un error de captura.</t>
  </si>
  <si>
    <t xml:space="preserve">Libro de Inventarios · Inventario al cierre del ejercicio</t>
  </si>
  <si>
    <t xml:space="preserve">Base: Código de Comercio, art. 35: al comenzar el giro y al fin de cada año, descripción estimatoria de todos los bienes, créditos, activos y pasivos, cerrada con el balance y la cuenta de ganancias y pérdidas. Lo firma el contador y se copia al libro sellado.</t>
  </si>
  <si>
    <t xml:space="preserve">Fecha del inventario</t>
  </si>
  <si>
    <t xml:space="preserve">ACTIVO</t>
  </si>
  <si>
    <t xml:space="preserve">Bs</t>
  </si>
  <si>
    <t xml:space="preserve">Efectivo en caja (Bs y divisas convertidas a tasa BCV)</t>
  </si>
  <si>
    <t xml:space="preserve">Arqueo al cierre</t>
  </si>
  <si>
    <t xml:space="preserve">Bancos</t>
  </si>
  <si>
    <t xml:space="preserve">Estados de cuenta al cierre</t>
  </si>
  <si>
    <t xml:space="preserve">Cuentas por cobrar</t>
  </si>
  <si>
    <t xml:space="preserve">Clientes a crédito</t>
  </si>
  <si>
    <t xml:space="preserve">Inventario de mercancía</t>
  </si>
  <si>
    <t xml:space="preserve">Viene del registro art. 177 (inventario final de diciembre)</t>
  </si>
  <si>
    <t xml:space="preserve">Mobiliario y equipo (neto)</t>
  </si>
  <si>
    <t xml:space="preserve">Anaqueles, computadoras, impresora fiscal</t>
  </si>
  <si>
    <t xml:space="preserve">Otros activos</t>
  </si>
  <si>
    <t xml:space="preserve">Total activo</t>
  </si>
  <si>
    <t xml:space="preserve">PASIVO</t>
  </si>
  <si>
    <t xml:space="preserve">Cuentas por pagar a droguerías</t>
  </si>
  <si>
    <t xml:space="preserve">Facturas pendientes al cierre</t>
  </si>
  <si>
    <t xml:space="preserve">Impuestos por pagar (IVA, ISLR)</t>
  </si>
  <si>
    <t xml:space="preserve">Declaraciones del mes</t>
  </si>
  <si>
    <t xml:space="preserve">Préstamos</t>
  </si>
  <si>
    <t xml:space="preserve">Otros pasivos</t>
  </si>
  <si>
    <t xml:space="preserve">Total pasivo</t>
  </si>
  <si>
    <t xml:space="preserve">Patrimonio (activo − pasivo)</t>
  </si>
  <si>
    <t xml:space="preserve">Después del inventario van el balance general y el estado de ganancias y pérdidas del año, preparados por el contador.</t>
  </si>
  <si>
    <t xml:space="preserve">Escribe en azul. El inventario de mercancía se trae solo de la otra hoja.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</si>
</sst>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;\(#,##0.00\);\-"/>
    <numFmt numFmtId="167" formatCode="General"/>
    <numFmt numFmtId="168" formatCode="dd/mm/yyyy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color rgb="FF008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A2440"/>
        <bgColor rgb="FF003366"/>
      </patternFill>
    </fill>
    <fill>
      <patternFill patternType="solid">
        <fgColor rgb="FFF4F6F9"/>
        <bgColor rgb="FFFFFFFF"/>
      </patternFill>
    </fill>
    <fill>
      <patternFill patternType="solid">
        <fgColor rgb="FFDCE6F1"/>
        <bgColor rgb="FFF4F6F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9AA7BA"/>
      </left>
      <right style="thin">
        <color rgb="FF9AA7BA"/>
      </right>
      <top style="thin">
        <color rgb="FF9AA7BA"/>
      </top>
      <bottom style="thin">
        <color rgb="FF9AA7BA"/>
      </bottom>
      <diagonal/>
    </border>
    <border diagonalUp="false" diagonalDown="false">
      <left/>
      <right/>
      <top style="thin">
        <color rgb="FF9AA7BA"/>
      </top>
      <bottom style="double">
        <color rgb="FF1A244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4F6F9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AA7BA"/>
      <rgbColor rgb="FF003366"/>
      <rgbColor rgb="FF339966"/>
      <rgbColor rgb="FF003300"/>
      <rgbColor rgb="FF333300"/>
      <rgbColor rgb="FF993300"/>
      <rgbColor rgb="FF993366"/>
      <rgbColor rgb="FF333399"/>
      <rgbColor rgb="FF1A24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2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1" topLeftCell="C12" activePane="bottomRight" state="frozen"/>
      <selection pane="topLeft" activeCell="A1" activeCellId="0" sqref="A1"/>
      <selection pane="topRight" activeCell="C1" activeCellId="0" sqref="C1"/>
      <selection pane="bottomLeft" activeCell="A12" activeCellId="0" sqref="A1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4"/>
    <col collapsed="false" customWidth="true" hidden="false" outlineLevel="0" max="3" min="3" style="0" width="9"/>
    <col collapsed="false" customWidth="true" hidden="false" outlineLevel="0" max="4" min="4" style="0" width="11"/>
    <col collapsed="false" customWidth="true" hidden="false" outlineLevel="0" max="5" min="5" style="0" width="13"/>
    <col collapsed="false" customWidth="true" hidden="false" outlineLevel="0" max="6" min="6" style="0" width="15"/>
    <col collapsed="false" customWidth="true" hidden="false" outlineLevel="0" max="7" min="7" style="0" width="12"/>
    <col collapsed="false" customWidth="true" hidden="false" outlineLevel="0" max="8" min="8" style="0" width="15"/>
    <col collapsed="false" customWidth="true" hidden="false" outlineLevel="0" max="9" min="9" style="0" width="13"/>
    <col collapsed="false" customWidth="true" hidden="false" outlineLevel="0" max="10" min="10" style="0" width="12"/>
    <col collapsed="false" customWidth="true" hidden="false" outlineLevel="0" max="11" min="11" style="0" width="15"/>
    <col collapsed="false" customWidth="true" hidden="false" outlineLevel="0" max="12" min="12" style="0" width="12"/>
    <col collapsed="false" customWidth="true" hidden="false" outlineLevel="0" max="13" min="13" style="0" width="14"/>
    <col collapsed="false" customWidth="true" hidden="false" outlineLevel="0" max="14" min="14" style="0" width="11"/>
    <col collapsed="false" customWidth="true" hidden="false" outlineLevel="0" max="15" min="15" style="0" width="15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D4" s="4" t="s">
        <v>3</v>
      </c>
    </row>
    <row r="5" customFormat="false" ht="15" hidden="false" customHeight="false" outlineLevel="0" collapsed="false">
      <c r="A5" s="3" t="s">
        <v>4</v>
      </c>
      <c r="D5" s="4" t="s">
        <v>5</v>
      </c>
    </row>
    <row r="6" customFormat="false" ht="15" hidden="false" customHeight="false" outlineLevel="0" collapsed="false">
      <c r="A6" s="3" t="s">
        <v>6</v>
      </c>
      <c r="D6" s="4" t="s">
        <v>7</v>
      </c>
    </row>
    <row r="7" customFormat="false" ht="15" hidden="false" customHeight="false" outlineLevel="0" collapsed="false">
      <c r="A7" s="3" t="s">
        <v>8</v>
      </c>
      <c r="D7" s="5" t="s">
        <v>9</v>
      </c>
    </row>
    <row r="9" customFormat="false" ht="42" hidden="false" customHeight="true" outlineLevel="0" collapsed="false">
      <c r="A9" s="3" t="s">
        <v>10</v>
      </c>
      <c r="D9" s="6" t="s">
        <v>11</v>
      </c>
      <c r="E9" s="6"/>
      <c r="F9" s="6"/>
      <c r="G9" s="6"/>
      <c r="H9" s="6"/>
      <c r="I9" s="6"/>
      <c r="J9" s="6"/>
      <c r="K9" s="6"/>
      <c r="L9" s="6"/>
      <c r="M9" s="6"/>
      <c r="N9" s="6"/>
    </row>
    <row r="11" customFormat="false" ht="54" hidden="false" customHeight="true" outlineLevel="0" collapsed="false">
      <c r="A11" s="7" t="s">
        <v>12</v>
      </c>
      <c r="B11" s="7" t="s">
        <v>13</v>
      </c>
      <c r="C11" s="7" t="s">
        <v>14</v>
      </c>
      <c r="D11" s="7" t="s">
        <v>15</v>
      </c>
      <c r="E11" s="7" t="s">
        <v>16</v>
      </c>
      <c r="F11" s="7" t="s">
        <v>17</v>
      </c>
      <c r="G11" s="7" t="s">
        <v>18</v>
      </c>
      <c r="H11" s="7" t="s">
        <v>19</v>
      </c>
      <c r="I11" s="7" t="s">
        <v>20</v>
      </c>
      <c r="J11" s="7" t="s">
        <v>21</v>
      </c>
      <c r="K11" s="7" t="s">
        <v>22</v>
      </c>
      <c r="L11" s="7" t="s">
        <v>23</v>
      </c>
      <c r="M11" s="7" t="s">
        <v>24</v>
      </c>
      <c r="N11" s="7" t="s">
        <v>25</v>
      </c>
      <c r="O11" s="7" t="s">
        <v>26</v>
      </c>
    </row>
    <row r="12" customFormat="false" ht="15" hidden="false" customHeight="false" outlineLevel="0" collapsed="false">
      <c r="A12" s="8" t="s">
        <v>27</v>
      </c>
      <c r="B12" s="9" t="s">
        <v>28</v>
      </c>
      <c r="C12" s="9" t="s">
        <v>29</v>
      </c>
      <c r="D12" s="9" t="n">
        <v>20</v>
      </c>
      <c r="E12" s="10" t="n">
        <v>1851.95</v>
      </c>
      <c r="F12" s="11" t="n">
        <f aca="false">IF(D12="","",D12*E12)</f>
        <v>37039</v>
      </c>
      <c r="G12" s="9" t="n">
        <v>36</v>
      </c>
      <c r="H12" s="10" t="n">
        <v>74607.05</v>
      </c>
      <c r="I12" s="11" t="n">
        <f aca="false">IF(A12="","",IFERROR((N(F12)+N(H12))/(N(D12)+N(G12)),0))</f>
        <v>1993.67946428571</v>
      </c>
      <c r="J12" s="9" t="n">
        <v>30</v>
      </c>
      <c r="K12" s="11" t="n">
        <f aca="false">IF(A12="","",ROUND(N(J12)*I12,2))</f>
        <v>59810.38</v>
      </c>
      <c r="L12" s="9" t="n">
        <v>0</v>
      </c>
      <c r="M12" s="11" t="n">
        <f aca="false">IF(A12="","",ROUND(N(L12)*I12,2))</f>
        <v>0</v>
      </c>
      <c r="N12" s="12" t="n">
        <f aca="false">IF(A12="","",N(D12)+N(G12)-N(J12)-N(L12))</f>
        <v>26</v>
      </c>
      <c r="O12" s="11" t="n">
        <f aca="false">IF(A12="","",ROUND(N(F12)+N(H12)-N(K12)-N(M12),2))</f>
        <v>51835.67</v>
      </c>
    </row>
    <row r="13" customFormat="false" ht="15" hidden="false" customHeight="false" outlineLevel="0" collapsed="false">
      <c r="A13" s="8" t="s">
        <v>30</v>
      </c>
      <c r="B13" s="9" t="s">
        <v>31</v>
      </c>
      <c r="C13" s="9" t="s">
        <v>29</v>
      </c>
      <c r="D13" s="9" t="n">
        <v>12</v>
      </c>
      <c r="E13" s="10" t="n">
        <v>2116.51</v>
      </c>
      <c r="F13" s="11" t="n">
        <f aca="false">IF(D13="","",D13*E13)</f>
        <v>25398.12</v>
      </c>
      <c r="G13" s="9" t="n">
        <v>36</v>
      </c>
      <c r="H13" s="10" t="n">
        <v>74607.05</v>
      </c>
      <c r="I13" s="11" t="n">
        <f aca="false">IF(A13="","",IFERROR((N(F13)+N(H13))/(N(D13)+N(G13)),0))</f>
        <v>2083.44104166667</v>
      </c>
      <c r="J13" s="9" t="n">
        <v>39</v>
      </c>
      <c r="K13" s="11" t="n">
        <f aca="false">IF(A13="","",ROUND(N(J13)*I13,2))</f>
        <v>81254.2</v>
      </c>
      <c r="L13" s="9" t="n">
        <v>0</v>
      </c>
      <c r="M13" s="11" t="n">
        <f aca="false">IF(A13="","",ROUND(N(L13)*I13,2))</f>
        <v>0</v>
      </c>
      <c r="N13" s="12" t="n">
        <f aca="false">IF(A13="","",N(D13)+N(G13)-N(J13)-N(L13))</f>
        <v>9</v>
      </c>
      <c r="O13" s="11" t="n">
        <f aca="false">IF(A13="","",ROUND(N(F13)+N(H13)-N(K13)-N(M13),2))</f>
        <v>18750.97</v>
      </c>
    </row>
    <row r="14" customFormat="false" ht="15" hidden="false" customHeight="false" outlineLevel="0" collapsed="false">
      <c r="A14" s="8" t="s">
        <v>32</v>
      </c>
      <c r="B14" s="9" t="s">
        <v>33</v>
      </c>
      <c r="C14" s="9" t="s">
        <v>14</v>
      </c>
      <c r="D14" s="9" t="n">
        <v>30</v>
      </c>
      <c r="E14" s="10" t="n">
        <v>1763.76</v>
      </c>
      <c r="F14" s="11" t="n">
        <f aca="false">IF(D14="","",D14*E14)</f>
        <v>52912.8</v>
      </c>
      <c r="G14" s="9" t="n">
        <v>24</v>
      </c>
      <c r="H14" s="10" t="n">
        <v>41271.98</v>
      </c>
      <c r="I14" s="11" t="n">
        <f aca="false">IF(A14="","",IFERROR((N(F14)+N(H14))/(N(D14)+N(G14)),0))</f>
        <v>1744.16259259259</v>
      </c>
      <c r="J14" s="9" t="n">
        <v>14</v>
      </c>
      <c r="K14" s="11" t="n">
        <f aca="false">IF(A14="","",ROUND(N(J14)*I14,2))</f>
        <v>24418.28</v>
      </c>
      <c r="L14" s="9" t="n">
        <v>2</v>
      </c>
      <c r="M14" s="11" t="n">
        <f aca="false">IF(A14="","",ROUND(N(L14)*I14,2))</f>
        <v>3488.33</v>
      </c>
      <c r="N14" s="12" t="n">
        <f aca="false">IF(A14="","",N(D14)+N(G14)-N(J14)-N(L14))</f>
        <v>38</v>
      </c>
      <c r="O14" s="11" t="n">
        <f aca="false">IF(A14="","",ROUND(N(F14)+N(H14)-N(K14)-N(M14),2))</f>
        <v>66278.17</v>
      </c>
    </row>
    <row r="15" customFormat="false" ht="15" hidden="false" customHeight="false" outlineLevel="0" collapsed="false">
      <c r="A15" s="8" t="s">
        <v>34</v>
      </c>
      <c r="B15" s="9" t="s">
        <v>35</v>
      </c>
      <c r="C15" s="9" t="s">
        <v>36</v>
      </c>
      <c r="D15" s="9" t="n">
        <v>10</v>
      </c>
      <c r="E15" s="10" t="n">
        <v>6966.85</v>
      </c>
      <c r="F15" s="11" t="n">
        <f aca="false">IF(D15="","",D15*E15)</f>
        <v>69668.5</v>
      </c>
      <c r="G15" s="9" t="n">
        <v>12</v>
      </c>
      <c r="H15" s="10" t="n">
        <v>83602.22</v>
      </c>
      <c r="I15" s="11" t="n">
        <f aca="false">IF(A15="","",IFERROR((N(F15)+N(H15))/(N(D15)+N(G15)),0))</f>
        <v>6966.85090909091</v>
      </c>
      <c r="J15" s="9" t="n">
        <v>4</v>
      </c>
      <c r="K15" s="11" t="n">
        <f aca="false">IF(A15="","",ROUND(N(J15)*I15,2))</f>
        <v>27867.4</v>
      </c>
      <c r="L15" s="9" t="n">
        <v>0</v>
      </c>
      <c r="M15" s="11" t="n">
        <f aca="false">IF(A15="","",ROUND(N(L15)*I15,2))</f>
        <v>0</v>
      </c>
      <c r="N15" s="12" t="n">
        <f aca="false">IF(A15="","",N(D15)+N(G15)-N(J15)-N(L15))</f>
        <v>18</v>
      </c>
      <c r="O15" s="11" t="n">
        <f aca="false">IF(A15="","",ROUND(N(F15)+N(H15)-N(K15)-N(M15),2))</f>
        <v>125403.32</v>
      </c>
    </row>
    <row r="16" customFormat="false" ht="15" hidden="false" customHeight="false" outlineLevel="0" collapsed="false">
      <c r="A16" s="13"/>
      <c r="B16" s="14"/>
      <c r="C16" s="14"/>
      <c r="D16" s="14"/>
      <c r="E16" s="15"/>
      <c r="F16" s="16" t="str">
        <f aca="false">IF(D16="","",D16*E16)</f>
        <v/>
      </c>
      <c r="G16" s="14"/>
      <c r="H16" s="15"/>
      <c r="I16" s="16" t="str">
        <f aca="false">IF(A16="","",IFERROR((N(F16)+N(H16))/(N(D16)+N(G16)),0))</f>
        <v/>
      </c>
      <c r="J16" s="14"/>
      <c r="K16" s="16" t="str">
        <f aca="false">IF(A16="","",ROUND(N(J16)*I16,2))</f>
        <v/>
      </c>
      <c r="L16" s="14"/>
      <c r="M16" s="16" t="str">
        <f aca="false">IF(A16="","",ROUND(N(L16)*I16,2))</f>
        <v/>
      </c>
      <c r="N16" s="17" t="str">
        <f aca="false">IF(A16="","",N(D16)+N(G16)-N(J16)-N(L16))</f>
        <v/>
      </c>
      <c r="O16" s="16" t="str">
        <f aca="false">IF(A16="","",ROUND(N(F16)+N(H16)-N(K16)-N(M16),2))</f>
        <v/>
      </c>
    </row>
    <row r="17" customFormat="false" ht="15" hidden="false" customHeight="false" outlineLevel="0" collapsed="false">
      <c r="A17" s="13"/>
      <c r="B17" s="14"/>
      <c r="C17" s="14"/>
      <c r="D17" s="14"/>
      <c r="E17" s="15"/>
      <c r="F17" s="16" t="str">
        <f aca="false">IF(D17="","",D17*E17)</f>
        <v/>
      </c>
      <c r="G17" s="14"/>
      <c r="H17" s="15"/>
      <c r="I17" s="16" t="str">
        <f aca="false">IF(A17="","",IFERROR((N(F17)+N(H17))/(N(D17)+N(G17)),0))</f>
        <v/>
      </c>
      <c r="J17" s="14"/>
      <c r="K17" s="16" t="str">
        <f aca="false">IF(A17="","",ROUND(N(J17)*I17,2))</f>
        <v/>
      </c>
      <c r="L17" s="14"/>
      <c r="M17" s="16" t="str">
        <f aca="false">IF(A17="","",ROUND(N(L17)*I17,2))</f>
        <v/>
      </c>
      <c r="N17" s="17" t="str">
        <f aca="false">IF(A17="","",N(D17)+N(G17)-N(J17)-N(L17))</f>
        <v/>
      </c>
      <c r="O17" s="16" t="str">
        <f aca="false">IF(A17="","",ROUND(N(F17)+N(H17)-N(K17)-N(M17),2))</f>
        <v/>
      </c>
    </row>
    <row r="18" customFormat="false" ht="15" hidden="false" customHeight="false" outlineLevel="0" collapsed="false">
      <c r="A18" s="13"/>
      <c r="B18" s="14"/>
      <c r="C18" s="14"/>
      <c r="D18" s="14"/>
      <c r="E18" s="15"/>
      <c r="F18" s="16" t="str">
        <f aca="false">IF(D18="","",D18*E18)</f>
        <v/>
      </c>
      <c r="G18" s="14"/>
      <c r="H18" s="15"/>
      <c r="I18" s="16" t="str">
        <f aca="false">IF(A18="","",IFERROR((N(F18)+N(H18))/(N(D18)+N(G18)),0))</f>
        <v/>
      </c>
      <c r="J18" s="14"/>
      <c r="K18" s="16" t="str">
        <f aca="false">IF(A18="","",ROUND(N(J18)*I18,2))</f>
        <v/>
      </c>
      <c r="L18" s="14"/>
      <c r="M18" s="16" t="str">
        <f aca="false">IF(A18="","",ROUND(N(L18)*I18,2))</f>
        <v/>
      </c>
      <c r="N18" s="17" t="str">
        <f aca="false">IF(A18="","",N(D18)+N(G18)-N(J18)-N(L18))</f>
        <v/>
      </c>
      <c r="O18" s="16" t="str">
        <f aca="false">IF(A18="","",ROUND(N(F18)+N(H18)-N(K18)-N(M18),2))</f>
        <v/>
      </c>
    </row>
    <row r="19" customFormat="false" ht="15" hidden="false" customHeight="false" outlineLevel="0" collapsed="false">
      <c r="A19" s="13"/>
      <c r="B19" s="14"/>
      <c r="C19" s="14"/>
      <c r="D19" s="14"/>
      <c r="E19" s="15"/>
      <c r="F19" s="16" t="str">
        <f aca="false">IF(D19="","",D19*E19)</f>
        <v/>
      </c>
      <c r="G19" s="14"/>
      <c r="H19" s="15"/>
      <c r="I19" s="16" t="str">
        <f aca="false">IF(A19="","",IFERROR((N(F19)+N(H19))/(N(D19)+N(G19)),0))</f>
        <v/>
      </c>
      <c r="J19" s="14"/>
      <c r="K19" s="16" t="str">
        <f aca="false">IF(A19="","",ROUND(N(J19)*I19,2))</f>
        <v/>
      </c>
      <c r="L19" s="14"/>
      <c r="M19" s="16" t="str">
        <f aca="false">IF(A19="","",ROUND(N(L19)*I19,2))</f>
        <v/>
      </c>
      <c r="N19" s="17" t="str">
        <f aca="false">IF(A19="","",N(D19)+N(G19)-N(J19)-N(L19))</f>
        <v/>
      </c>
      <c r="O19" s="16" t="str">
        <f aca="false">IF(A19="","",ROUND(N(F19)+N(H19)-N(K19)-N(M19),2))</f>
        <v/>
      </c>
    </row>
    <row r="20" customFormat="false" ht="15" hidden="false" customHeight="false" outlineLevel="0" collapsed="false">
      <c r="A20" s="13"/>
      <c r="B20" s="14"/>
      <c r="C20" s="14"/>
      <c r="D20" s="14"/>
      <c r="E20" s="15"/>
      <c r="F20" s="16" t="str">
        <f aca="false">IF(D20="","",D20*E20)</f>
        <v/>
      </c>
      <c r="G20" s="14"/>
      <c r="H20" s="15"/>
      <c r="I20" s="16" t="str">
        <f aca="false">IF(A20="","",IFERROR((N(F20)+N(H20))/(N(D20)+N(G20)),0))</f>
        <v/>
      </c>
      <c r="J20" s="14"/>
      <c r="K20" s="16" t="str">
        <f aca="false">IF(A20="","",ROUND(N(J20)*I20,2))</f>
        <v/>
      </c>
      <c r="L20" s="14"/>
      <c r="M20" s="16" t="str">
        <f aca="false">IF(A20="","",ROUND(N(L20)*I20,2))</f>
        <v/>
      </c>
      <c r="N20" s="17" t="str">
        <f aca="false">IF(A20="","",N(D20)+N(G20)-N(J20)-N(L20))</f>
        <v/>
      </c>
      <c r="O20" s="16" t="str">
        <f aca="false">IF(A20="","",ROUND(N(F20)+N(H20)-N(K20)-N(M20),2))</f>
        <v/>
      </c>
    </row>
    <row r="21" customFormat="false" ht="15" hidden="false" customHeight="false" outlineLevel="0" collapsed="false">
      <c r="A21" s="13"/>
      <c r="B21" s="14"/>
      <c r="C21" s="14"/>
      <c r="D21" s="14"/>
      <c r="E21" s="15"/>
      <c r="F21" s="16" t="str">
        <f aca="false">IF(D21="","",D21*E21)</f>
        <v/>
      </c>
      <c r="G21" s="14"/>
      <c r="H21" s="15"/>
      <c r="I21" s="16" t="str">
        <f aca="false">IF(A21="","",IFERROR((N(F21)+N(H21))/(N(D21)+N(G21)),0))</f>
        <v/>
      </c>
      <c r="J21" s="14"/>
      <c r="K21" s="16" t="str">
        <f aca="false">IF(A21="","",ROUND(N(J21)*I21,2))</f>
        <v/>
      </c>
      <c r="L21" s="14"/>
      <c r="M21" s="16" t="str">
        <f aca="false">IF(A21="","",ROUND(N(L21)*I21,2))</f>
        <v/>
      </c>
      <c r="N21" s="17" t="str">
        <f aca="false">IF(A21="","",N(D21)+N(G21)-N(J21)-N(L21))</f>
        <v/>
      </c>
      <c r="O21" s="16" t="str">
        <f aca="false">IF(A21="","",ROUND(N(F21)+N(H21)-N(K21)-N(M21),2))</f>
        <v/>
      </c>
    </row>
    <row r="22" customFormat="false" ht="15" hidden="false" customHeight="false" outlineLevel="0" collapsed="false">
      <c r="A22" s="13"/>
      <c r="B22" s="14"/>
      <c r="C22" s="14"/>
      <c r="D22" s="14"/>
      <c r="E22" s="15"/>
      <c r="F22" s="16" t="str">
        <f aca="false">IF(D22="","",D22*E22)</f>
        <v/>
      </c>
      <c r="G22" s="14"/>
      <c r="H22" s="15"/>
      <c r="I22" s="16" t="str">
        <f aca="false">IF(A22="","",IFERROR((N(F22)+N(H22))/(N(D22)+N(G22)),0))</f>
        <v/>
      </c>
      <c r="J22" s="14"/>
      <c r="K22" s="16" t="str">
        <f aca="false">IF(A22="","",ROUND(N(J22)*I22,2))</f>
        <v/>
      </c>
      <c r="L22" s="14"/>
      <c r="M22" s="16" t="str">
        <f aca="false">IF(A22="","",ROUND(N(L22)*I22,2))</f>
        <v/>
      </c>
      <c r="N22" s="17" t="str">
        <f aca="false">IF(A22="","",N(D22)+N(G22)-N(J22)-N(L22))</f>
        <v/>
      </c>
      <c r="O22" s="16" t="str">
        <f aca="false">IF(A22="","",ROUND(N(F22)+N(H22)-N(K22)-N(M22),2))</f>
        <v/>
      </c>
    </row>
    <row r="23" customFormat="false" ht="15" hidden="false" customHeight="false" outlineLevel="0" collapsed="false">
      <c r="A23" s="13"/>
      <c r="B23" s="14"/>
      <c r="C23" s="14"/>
      <c r="D23" s="14"/>
      <c r="E23" s="15"/>
      <c r="F23" s="16" t="str">
        <f aca="false">IF(D23="","",D23*E23)</f>
        <v/>
      </c>
      <c r="G23" s="14"/>
      <c r="H23" s="15"/>
      <c r="I23" s="16" t="str">
        <f aca="false">IF(A23="","",IFERROR((N(F23)+N(H23))/(N(D23)+N(G23)),0))</f>
        <v/>
      </c>
      <c r="J23" s="14"/>
      <c r="K23" s="16" t="str">
        <f aca="false">IF(A23="","",ROUND(N(J23)*I23,2))</f>
        <v/>
      </c>
      <c r="L23" s="14"/>
      <c r="M23" s="16" t="str">
        <f aca="false">IF(A23="","",ROUND(N(L23)*I23,2))</f>
        <v/>
      </c>
      <c r="N23" s="17" t="str">
        <f aca="false">IF(A23="","",N(D23)+N(G23)-N(J23)-N(L23))</f>
        <v/>
      </c>
      <c r="O23" s="16" t="str">
        <f aca="false">IF(A23="","",ROUND(N(F23)+N(H23)-N(K23)-N(M23),2))</f>
        <v/>
      </c>
    </row>
    <row r="24" customFormat="false" ht="15" hidden="false" customHeight="false" outlineLevel="0" collapsed="false">
      <c r="A24" s="13"/>
      <c r="B24" s="14"/>
      <c r="C24" s="14"/>
      <c r="D24" s="14"/>
      <c r="E24" s="15"/>
      <c r="F24" s="16" t="str">
        <f aca="false">IF(D24="","",D24*E24)</f>
        <v/>
      </c>
      <c r="G24" s="14"/>
      <c r="H24" s="15"/>
      <c r="I24" s="16" t="str">
        <f aca="false">IF(A24="","",IFERROR((N(F24)+N(H24))/(N(D24)+N(G24)),0))</f>
        <v/>
      </c>
      <c r="J24" s="14"/>
      <c r="K24" s="16" t="str">
        <f aca="false">IF(A24="","",ROUND(N(J24)*I24,2))</f>
        <v/>
      </c>
      <c r="L24" s="14"/>
      <c r="M24" s="16" t="str">
        <f aca="false">IF(A24="","",ROUND(N(L24)*I24,2))</f>
        <v/>
      </c>
      <c r="N24" s="17" t="str">
        <f aca="false">IF(A24="","",N(D24)+N(G24)-N(J24)-N(L24))</f>
        <v/>
      </c>
      <c r="O24" s="16" t="str">
        <f aca="false">IF(A24="","",ROUND(N(F24)+N(H24)-N(K24)-N(M24),2))</f>
        <v/>
      </c>
    </row>
    <row r="25" customFormat="false" ht="15" hidden="false" customHeight="false" outlineLevel="0" collapsed="false">
      <c r="A25" s="13"/>
      <c r="B25" s="14"/>
      <c r="C25" s="14"/>
      <c r="D25" s="14"/>
      <c r="E25" s="15"/>
      <c r="F25" s="16" t="str">
        <f aca="false">IF(D25="","",D25*E25)</f>
        <v/>
      </c>
      <c r="G25" s="14"/>
      <c r="H25" s="15"/>
      <c r="I25" s="16" t="str">
        <f aca="false">IF(A25="","",IFERROR((N(F25)+N(H25))/(N(D25)+N(G25)),0))</f>
        <v/>
      </c>
      <c r="J25" s="14"/>
      <c r="K25" s="16" t="str">
        <f aca="false">IF(A25="","",ROUND(N(J25)*I25,2))</f>
        <v/>
      </c>
      <c r="L25" s="14"/>
      <c r="M25" s="16" t="str">
        <f aca="false">IF(A25="","",ROUND(N(L25)*I25,2))</f>
        <v/>
      </c>
      <c r="N25" s="17" t="str">
        <f aca="false">IF(A25="","",N(D25)+N(G25)-N(J25)-N(L25))</f>
        <v/>
      </c>
      <c r="O25" s="16" t="str">
        <f aca="false">IF(A25="","",ROUND(N(F25)+N(H25)-N(K25)-N(M25),2))</f>
        <v/>
      </c>
    </row>
    <row r="26" customFormat="false" ht="15" hidden="false" customHeight="false" outlineLevel="0" collapsed="false">
      <c r="A26" s="13"/>
      <c r="B26" s="14"/>
      <c r="C26" s="14"/>
      <c r="D26" s="14"/>
      <c r="E26" s="15"/>
      <c r="F26" s="16" t="str">
        <f aca="false">IF(D26="","",D26*E26)</f>
        <v/>
      </c>
      <c r="G26" s="14"/>
      <c r="H26" s="15"/>
      <c r="I26" s="16" t="str">
        <f aca="false">IF(A26="","",IFERROR((N(F26)+N(H26))/(N(D26)+N(G26)),0))</f>
        <v/>
      </c>
      <c r="J26" s="14"/>
      <c r="K26" s="16" t="str">
        <f aca="false">IF(A26="","",ROUND(N(J26)*I26,2))</f>
        <v/>
      </c>
      <c r="L26" s="14"/>
      <c r="M26" s="16" t="str">
        <f aca="false">IF(A26="","",ROUND(N(L26)*I26,2))</f>
        <v/>
      </c>
      <c r="N26" s="17" t="str">
        <f aca="false">IF(A26="","",N(D26)+N(G26)-N(J26)-N(L26))</f>
        <v/>
      </c>
      <c r="O26" s="16" t="str">
        <f aca="false">IF(A26="","",ROUND(N(F26)+N(H26)-N(K26)-N(M26),2))</f>
        <v/>
      </c>
    </row>
    <row r="27" customFormat="false" ht="15" hidden="false" customHeight="false" outlineLevel="0" collapsed="false">
      <c r="A27" s="13"/>
      <c r="B27" s="14"/>
      <c r="C27" s="14"/>
      <c r="D27" s="14"/>
      <c r="E27" s="15"/>
      <c r="F27" s="16" t="str">
        <f aca="false">IF(D27="","",D27*E27)</f>
        <v/>
      </c>
      <c r="G27" s="14"/>
      <c r="H27" s="15"/>
      <c r="I27" s="16" t="str">
        <f aca="false">IF(A27="","",IFERROR((N(F27)+N(H27))/(N(D27)+N(G27)),0))</f>
        <v/>
      </c>
      <c r="J27" s="14"/>
      <c r="K27" s="16" t="str">
        <f aca="false">IF(A27="","",ROUND(N(J27)*I27,2))</f>
        <v/>
      </c>
      <c r="L27" s="14"/>
      <c r="M27" s="16" t="str">
        <f aca="false">IF(A27="","",ROUND(N(L27)*I27,2))</f>
        <v/>
      </c>
      <c r="N27" s="17" t="str">
        <f aca="false">IF(A27="","",N(D27)+N(G27)-N(J27)-N(L27))</f>
        <v/>
      </c>
      <c r="O27" s="16" t="str">
        <f aca="false">IF(A27="","",ROUND(N(F27)+N(H27)-N(K27)-N(M27),2))</f>
        <v/>
      </c>
    </row>
    <row r="28" customFormat="false" ht="15" hidden="false" customHeight="false" outlineLevel="0" collapsed="false">
      <c r="A28" s="13"/>
      <c r="B28" s="14"/>
      <c r="C28" s="14"/>
      <c r="D28" s="14"/>
      <c r="E28" s="15"/>
      <c r="F28" s="16" t="str">
        <f aca="false">IF(D28="","",D28*E28)</f>
        <v/>
      </c>
      <c r="G28" s="14"/>
      <c r="H28" s="15"/>
      <c r="I28" s="16" t="str">
        <f aca="false">IF(A28="","",IFERROR((N(F28)+N(H28))/(N(D28)+N(G28)),0))</f>
        <v/>
      </c>
      <c r="J28" s="14"/>
      <c r="K28" s="16" t="str">
        <f aca="false">IF(A28="","",ROUND(N(J28)*I28,2))</f>
        <v/>
      </c>
      <c r="L28" s="14"/>
      <c r="M28" s="16" t="str">
        <f aca="false">IF(A28="","",ROUND(N(L28)*I28,2))</f>
        <v/>
      </c>
      <c r="N28" s="17" t="str">
        <f aca="false">IF(A28="","",N(D28)+N(G28)-N(J28)-N(L28))</f>
        <v/>
      </c>
      <c r="O28" s="16" t="str">
        <f aca="false">IF(A28="","",ROUND(N(F28)+N(H28)-N(K28)-N(M28),2))</f>
        <v/>
      </c>
    </row>
    <row r="29" customFormat="false" ht="15" hidden="false" customHeight="false" outlineLevel="0" collapsed="false">
      <c r="A29" s="13"/>
      <c r="B29" s="14"/>
      <c r="C29" s="14"/>
      <c r="D29" s="14"/>
      <c r="E29" s="15"/>
      <c r="F29" s="16" t="str">
        <f aca="false">IF(D29="","",D29*E29)</f>
        <v/>
      </c>
      <c r="G29" s="14"/>
      <c r="H29" s="15"/>
      <c r="I29" s="16" t="str">
        <f aca="false">IF(A29="","",IFERROR((N(F29)+N(H29))/(N(D29)+N(G29)),0))</f>
        <v/>
      </c>
      <c r="J29" s="14"/>
      <c r="K29" s="16" t="str">
        <f aca="false">IF(A29="","",ROUND(N(J29)*I29,2))</f>
        <v/>
      </c>
      <c r="L29" s="14"/>
      <c r="M29" s="16" t="str">
        <f aca="false">IF(A29="","",ROUND(N(L29)*I29,2))</f>
        <v/>
      </c>
      <c r="N29" s="17" t="str">
        <f aca="false">IF(A29="","",N(D29)+N(G29)-N(J29)-N(L29))</f>
        <v/>
      </c>
      <c r="O29" s="16" t="str">
        <f aca="false">IF(A29="","",ROUND(N(F29)+N(H29)-N(K29)-N(M29),2))</f>
        <v/>
      </c>
    </row>
    <row r="30" customFormat="false" ht="15" hidden="false" customHeight="false" outlineLevel="0" collapsed="false">
      <c r="A30" s="13"/>
      <c r="B30" s="14"/>
      <c r="C30" s="14"/>
      <c r="D30" s="14"/>
      <c r="E30" s="15"/>
      <c r="F30" s="16" t="str">
        <f aca="false">IF(D30="","",D30*E30)</f>
        <v/>
      </c>
      <c r="G30" s="14"/>
      <c r="H30" s="15"/>
      <c r="I30" s="16" t="str">
        <f aca="false">IF(A30="","",IFERROR((N(F30)+N(H30))/(N(D30)+N(G30)),0))</f>
        <v/>
      </c>
      <c r="J30" s="14"/>
      <c r="K30" s="16" t="str">
        <f aca="false">IF(A30="","",ROUND(N(J30)*I30,2))</f>
        <v/>
      </c>
      <c r="L30" s="14"/>
      <c r="M30" s="16" t="str">
        <f aca="false">IF(A30="","",ROUND(N(L30)*I30,2))</f>
        <v/>
      </c>
      <c r="N30" s="17" t="str">
        <f aca="false">IF(A30="","",N(D30)+N(G30)-N(J30)-N(L30))</f>
        <v/>
      </c>
      <c r="O30" s="16" t="str">
        <f aca="false">IF(A30="","",ROUND(N(F30)+N(H30)-N(K30)-N(M30),2))</f>
        <v/>
      </c>
    </row>
    <row r="31" customFormat="false" ht="15" hidden="false" customHeight="false" outlineLevel="0" collapsed="false">
      <c r="A31" s="13"/>
      <c r="B31" s="14"/>
      <c r="C31" s="14"/>
      <c r="D31" s="14"/>
      <c r="E31" s="15"/>
      <c r="F31" s="16" t="str">
        <f aca="false">IF(D31="","",D31*E31)</f>
        <v/>
      </c>
      <c r="G31" s="14"/>
      <c r="H31" s="15"/>
      <c r="I31" s="16" t="str">
        <f aca="false">IF(A31="","",IFERROR((N(F31)+N(H31))/(N(D31)+N(G31)),0))</f>
        <v/>
      </c>
      <c r="J31" s="14"/>
      <c r="K31" s="16" t="str">
        <f aca="false">IF(A31="","",ROUND(N(J31)*I31,2))</f>
        <v/>
      </c>
      <c r="L31" s="14"/>
      <c r="M31" s="16" t="str">
        <f aca="false">IF(A31="","",ROUND(N(L31)*I31,2))</f>
        <v/>
      </c>
      <c r="N31" s="17" t="str">
        <f aca="false">IF(A31="","",N(D31)+N(G31)-N(J31)-N(L31))</f>
        <v/>
      </c>
      <c r="O31" s="16" t="str">
        <f aca="false">IF(A31="","",ROUND(N(F31)+N(H31)-N(K31)-N(M31),2))</f>
        <v/>
      </c>
    </row>
    <row r="32" customFormat="false" ht="15" hidden="false" customHeight="false" outlineLevel="0" collapsed="false">
      <c r="A32" s="13"/>
      <c r="B32" s="14"/>
      <c r="C32" s="14"/>
      <c r="D32" s="14"/>
      <c r="E32" s="15"/>
      <c r="F32" s="16" t="str">
        <f aca="false">IF(D32="","",D32*E32)</f>
        <v/>
      </c>
      <c r="G32" s="14"/>
      <c r="H32" s="15"/>
      <c r="I32" s="16" t="str">
        <f aca="false">IF(A32="","",IFERROR((N(F32)+N(H32))/(N(D32)+N(G32)),0))</f>
        <v/>
      </c>
      <c r="J32" s="14"/>
      <c r="K32" s="16" t="str">
        <f aca="false">IF(A32="","",ROUND(N(J32)*I32,2))</f>
        <v/>
      </c>
      <c r="L32" s="14"/>
      <c r="M32" s="16" t="str">
        <f aca="false">IF(A32="","",ROUND(N(L32)*I32,2))</f>
        <v/>
      </c>
      <c r="N32" s="17" t="str">
        <f aca="false">IF(A32="","",N(D32)+N(G32)-N(J32)-N(L32))</f>
        <v/>
      </c>
      <c r="O32" s="16" t="str">
        <f aca="false">IF(A32="","",ROUND(N(F32)+N(H32)-N(K32)-N(M32),2))</f>
        <v/>
      </c>
    </row>
    <row r="33" customFormat="false" ht="15" hidden="false" customHeight="false" outlineLevel="0" collapsed="false">
      <c r="A33" s="13"/>
      <c r="B33" s="14"/>
      <c r="C33" s="14"/>
      <c r="D33" s="14"/>
      <c r="E33" s="15"/>
      <c r="F33" s="16" t="str">
        <f aca="false">IF(D33="","",D33*E33)</f>
        <v/>
      </c>
      <c r="G33" s="14"/>
      <c r="H33" s="15"/>
      <c r="I33" s="16" t="str">
        <f aca="false">IF(A33="","",IFERROR((N(F33)+N(H33))/(N(D33)+N(G33)),0))</f>
        <v/>
      </c>
      <c r="J33" s="14"/>
      <c r="K33" s="16" t="str">
        <f aca="false">IF(A33="","",ROUND(N(J33)*I33,2))</f>
        <v/>
      </c>
      <c r="L33" s="14"/>
      <c r="M33" s="16" t="str">
        <f aca="false">IF(A33="","",ROUND(N(L33)*I33,2))</f>
        <v/>
      </c>
      <c r="N33" s="17" t="str">
        <f aca="false">IF(A33="","",N(D33)+N(G33)-N(J33)-N(L33))</f>
        <v/>
      </c>
      <c r="O33" s="16" t="str">
        <f aca="false">IF(A33="","",ROUND(N(F33)+N(H33)-N(K33)-N(M33),2))</f>
        <v/>
      </c>
    </row>
    <row r="34" customFormat="false" ht="15" hidden="false" customHeight="false" outlineLevel="0" collapsed="false">
      <c r="A34" s="13"/>
      <c r="B34" s="14"/>
      <c r="C34" s="14"/>
      <c r="D34" s="14"/>
      <c r="E34" s="15"/>
      <c r="F34" s="16" t="str">
        <f aca="false">IF(D34="","",D34*E34)</f>
        <v/>
      </c>
      <c r="G34" s="14"/>
      <c r="H34" s="15"/>
      <c r="I34" s="16" t="str">
        <f aca="false">IF(A34="","",IFERROR((N(F34)+N(H34))/(N(D34)+N(G34)),0))</f>
        <v/>
      </c>
      <c r="J34" s="14"/>
      <c r="K34" s="16" t="str">
        <f aca="false">IF(A34="","",ROUND(N(J34)*I34,2))</f>
        <v/>
      </c>
      <c r="L34" s="14"/>
      <c r="M34" s="16" t="str">
        <f aca="false">IF(A34="","",ROUND(N(L34)*I34,2))</f>
        <v/>
      </c>
      <c r="N34" s="17" t="str">
        <f aca="false">IF(A34="","",N(D34)+N(G34)-N(J34)-N(L34))</f>
        <v/>
      </c>
      <c r="O34" s="16" t="str">
        <f aca="false">IF(A34="","",ROUND(N(F34)+N(H34)-N(K34)-N(M34),2))</f>
        <v/>
      </c>
    </row>
    <row r="35" customFormat="false" ht="15" hidden="false" customHeight="false" outlineLevel="0" collapsed="false">
      <c r="A35" s="13"/>
      <c r="B35" s="14"/>
      <c r="C35" s="14"/>
      <c r="D35" s="14"/>
      <c r="E35" s="15"/>
      <c r="F35" s="16" t="str">
        <f aca="false">IF(D35="","",D35*E35)</f>
        <v/>
      </c>
      <c r="G35" s="14"/>
      <c r="H35" s="15"/>
      <c r="I35" s="16" t="str">
        <f aca="false">IF(A35="","",IFERROR((N(F35)+N(H35))/(N(D35)+N(G35)),0))</f>
        <v/>
      </c>
      <c r="J35" s="14"/>
      <c r="K35" s="16" t="str">
        <f aca="false">IF(A35="","",ROUND(N(J35)*I35,2))</f>
        <v/>
      </c>
      <c r="L35" s="14"/>
      <c r="M35" s="16" t="str">
        <f aca="false">IF(A35="","",ROUND(N(L35)*I35,2))</f>
        <v/>
      </c>
      <c r="N35" s="17" t="str">
        <f aca="false">IF(A35="","",N(D35)+N(G35)-N(J35)-N(L35))</f>
        <v/>
      </c>
      <c r="O35" s="16" t="str">
        <f aca="false">IF(A35="","",ROUND(N(F35)+N(H35)-N(K35)-N(M35),2))</f>
        <v/>
      </c>
    </row>
    <row r="36" customFormat="false" ht="15" hidden="false" customHeight="false" outlineLevel="0" collapsed="false">
      <c r="A36" s="13"/>
      <c r="B36" s="14"/>
      <c r="C36" s="14"/>
      <c r="D36" s="14"/>
      <c r="E36" s="15"/>
      <c r="F36" s="16" t="str">
        <f aca="false">IF(D36="","",D36*E36)</f>
        <v/>
      </c>
      <c r="G36" s="14"/>
      <c r="H36" s="15"/>
      <c r="I36" s="16" t="str">
        <f aca="false">IF(A36="","",IFERROR((N(F36)+N(H36))/(N(D36)+N(G36)),0))</f>
        <v/>
      </c>
      <c r="J36" s="14"/>
      <c r="K36" s="16" t="str">
        <f aca="false">IF(A36="","",ROUND(N(J36)*I36,2))</f>
        <v/>
      </c>
      <c r="L36" s="14"/>
      <c r="M36" s="16" t="str">
        <f aca="false">IF(A36="","",ROUND(N(L36)*I36,2))</f>
        <v/>
      </c>
      <c r="N36" s="17" t="str">
        <f aca="false">IF(A36="","",N(D36)+N(G36)-N(J36)-N(L36))</f>
        <v/>
      </c>
      <c r="O36" s="16" t="str">
        <f aca="false">IF(A36="","",ROUND(N(F36)+N(H36)-N(K36)-N(M36),2))</f>
        <v/>
      </c>
    </row>
    <row r="37" customFormat="false" ht="15" hidden="false" customHeight="false" outlineLevel="0" collapsed="false">
      <c r="A37" s="13"/>
      <c r="B37" s="14"/>
      <c r="C37" s="14"/>
      <c r="D37" s="14"/>
      <c r="E37" s="15"/>
      <c r="F37" s="16" t="str">
        <f aca="false">IF(D37="","",D37*E37)</f>
        <v/>
      </c>
      <c r="G37" s="14"/>
      <c r="H37" s="15"/>
      <c r="I37" s="16" t="str">
        <f aca="false">IF(A37="","",IFERROR((N(F37)+N(H37))/(N(D37)+N(G37)),0))</f>
        <v/>
      </c>
      <c r="J37" s="14"/>
      <c r="K37" s="16" t="str">
        <f aca="false">IF(A37="","",ROUND(N(J37)*I37,2))</f>
        <v/>
      </c>
      <c r="L37" s="14"/>
      <c r="M37" s="16" t="str">
        <f aca="false">IF(A37="","",ROUND(N(L37)*I37,2))</f>
        <v/>
      </c>
      <c r="N37" s="17" t="str">
        <f aca="false">IF(A37="","",N(D37)+N(G37)-N(J37)-N(L37))</f>
        <v/>
      </c>
      <c r="O37" s="16" t="str">
        <f aca="false">IF(A37="","",ROUND(N(F37)+N(H37)-N(K37)-N(M37),2))</f>
        <v/>
      </c>
    </row>
    <row r="38" customFormat="false" ht="15" hidden="false" customHeight="false" outlineLevel="0" collapsed="false">
      <c r="A38" s="13"/>
      <c r="B38" s="14"/>
      <c r="C38" s="14"/>
      <c r="D38" s="14"/>
      <c r="E38" s="15"/>
      <c r="F38" s="16" t="str">
        <f aca="false">IF(D38="","",D38*E38)</f>
        <v/>
      </c>
      <c r="G38" s="14"/>
      <c r="H38" s="15"/>
      <c r="I38" s="16" t="str">
        <f aca="false">IF(A38="","",IFERROR((N(F38)+N(H38))/(N(D38)+N(G38)),0))</f>
        <v/>
      </c>
      <c r="J38" s="14"/>
      <c r="K38" s="16" t="str">
        <f aca="false">IF(A38="","",ROUND(N(J38)*I38,2))</f>
        <v/>
      </c>
      <c r="L38" s="14"/>
      <c r="M38" s="16" t="str">
        <f aca="false">IF(A38="","",ROUND(N(L38)*I38,2))</f>
        <v/>
      </c>
      <c r="N38" s="17" t="str">
        <f aca="false">IF(A38="","",N(D38)+N(G38)-N(J38)-N(L38))</f>
        <v/>
      </c>
      <c r="O38" s="16" t="str">
        <f aca="false">IF(A38="","",ROUND(N(F38)+N(H38)-N(K38)-N(M38),2))</f>
        <v/>
      </c>
    </row>
    <row r="39" customFormat="false" ht="15" hidden="false" customHeight="false" outlineLevel="0" collapsed="false">
      <c r="A39" s="13"/>
      <c r="B39" s="14"/>
      <c r="C39" s="14"/>
      <c r="D39" s="14"/>
      <c r="E39" s="15"/>
      <c r="F39" s="16" t="str">
        <f aca="false">IF(D39="","",D39*E39)</f>
        <v/>
      </c>
      <c r="G39" s="14"/>
      <c r="H39" s="15"/>
      <c r="I39" s="16" t="str">
        <f aca="false">IF(A39="","",IFERROR((N(F39)+N(H39))/(N(D39)+N(G39)),0))</f>
        <v/>
      </c>
      <c r="J39" s="14"/>
      <c r="K39" s="16" t="str">
        <f aca="false">IF(A39="","",ROUND(N(J39)*I39,2))</f>
        <v/>
      </c>
      <c r="L39" s="14"/>
      <c r="M39" s="16" t="str">
        <f aca="false">IF(A39="","",ROUND(N(L39)*I39,2))</f>
        <v/>
      </c>
      <c r="N39" s="17" t="str">
        <f aca="false">IF(A39="","",N(D39)+N(G39)-N(J39)-N(L39))</f>
        <v/>
      </c>
      <c r="O39" s="16" t="str">
        <f aca="false">IF(A39="","",ROUND(N(F39)+N(H39)-N(K39)-N(M39),2))</f>
        <v/>
      </c>
    </row>
    <row r="40" customFormat="false" ht="15" hidden="false" customHeight="false" outlineLevel="0" collapsed="false">
      <c r="A40" s="13"/>
      <c r="B40" s="14"/>
      <c r="C40" s="14"/>
      <c r="D40" s="14"/>
      <c r="E40" s="15"/>
      <c r="F40" s="16" t="str">
        <f aca="false">IF(D40="","",D40*E40)</f>
        <v/>
      </c>
      <c r="G40" s="14"/>
      <c r="H40" s="15"/>
      <c r="I40" s="16" t="str">
        <f aca="false">IF(A40="","",IFERROR((N(F40)+N(H40))/(N(D40)+N(G40)),0))</f>
        <v/>
      </c>
      <c r="J40" s="14"/>
      <c r="K40" s="16" t="str">
        <f aca="false">IF(A40="","",ROUND(N(J40)*I40,2))</f>
        <v/>
      </c>
      <c r="L40" s="14"/>
      <c r="M40" s="16" t="str">
        <f aca="false">IF(A40="","",ROUND(N(L40)*I40,2))</f>
        <v/>
      </c>
      <c r="N40" s="17" t="str">
        <f aca="false">IF(A40="","",N(D40)+N(G40)-N(J40)-N(L40))</f>
        <v/>
      </c>
      <c r="O40" s="16" t="str">
        <f aca="false">IF(A40="","",ROUND(N(F40)+N(H40)-N(K40)-N(M40),2))</f>
        <v/>
      </c>
    </row>
    <row r="41" customFormat="false" ht="15" hidden="false" customHeight="false" outlineLevel="0" collapsed="false">
      <c r="A41" s="13"/>
      <c r="B41" s="14"/>
      <c r="C41" s="14"/>
      <c r="D41" s="14"/>
      <c r="E41" s="15"/>
      <c r="F41" s="16" t="str">
        <f aca="false">IF(D41="","",D41*E41)</f>
        <v/>
      </c>
      <c r="G41" s="14"/>
      <c r="H41" s="15"/>
      <c r="I41" s="16" t="str">
        <f aca="false">IF(A41="","",IFERROR((N(F41)+N(H41))/(N(D41)+N(G41)),0))</f>
        <v/>
      </c>
      <c r="J41" s="14"/>
      <c r="K41" s="16" t="str">
        <f aca="false">IF(A41="","",ROUND(N(J41)*I41,2))</f>
        <v/>
      </c>
      <c r="L41" s="14"/>
      <c r="M41" s="16" t="str">
        <f aca="false">IF(A41="","",ROUND(N(L41)*I41,2))</f>
        <v/>
      </c>
      <c r="N41" s="17" t="str">
        <f aca="false">IF(A41="","",N(D41)+N(G41)-N(J41)-N(L41))</f>
        <v/>
      </c>
      <c r="O41" s="16" t="str">
        <f aca="false">IF(A41="","",ROUND(N(F41)+N(H41)-N(K41)-N(M41),2))</f>
        <v/>
      </c>
    </row>
    <row r="42" customFormat="false" ht="15" hidden="false" customHeight="false" outlineLevel="0" collapsed="false">
      <c r="A42" s="13"/>
      <c r="B42" s="14"/>
      <c r="C42" s="14"/>
      <c r="D42" s="14"/>
      <c r="E42" s="15"/>
      <c r="F42" s="16" t="str">
        <f aca="false">IF(D42="","",D42*E42)</f>
        <v/>
      </c>
      <c r="G42" s="14"/>
      <c r="H42" s="15"/>
      <c r="I42" s="16" t="str">
        <f aca="false">IF(A42="","",IFERROR((N(F42)+N(H42))/(N(D42)+N(G42)),0))</f>
        <v/>
      </c>
      <c r="J42" s="14"/>
      <c r="K42" s="16" t="str">
        <f aca="false">IF(A42="","",ROUND(N(J42)*I42,2))</f>
        <v/>
      </c>
      <c r="L42" s="14"/>
      <c r="M42" s="16" t="str">
        <f aca="false">IF(A42="","",ROUND(N(L42)*I42,2))</f>
        <v/>
      </c>
      <c r="N42" s="17" t="str">
        <f aca="false">IF(A42="","",N(D42)+N(G42)-N(J42)-N(L42))</f>
        <v/>
      </c>
      <c r="O42" s="16" t="str">
        <f aca="false">IF(A42="","",ROUND(N(F42)+N(H42)-N(K42)-N(M42),2))</f>
        <v/>
      </c>
    </row>
    <row r="43" customFormat="false" ht="15" hidden="false" customHeight="false" outlineLevel="0" collapsed="false">
      <c r="A43" s="13"/>
      <c r="B43" s="14"/>
      <c r="C43" s="14"/>
      <c r="D43" s="14"/>
      <c r="E43" s="15"/>
      <c r="F43" s="16" t="str">
        <f aca="false">IF(D43="","",D43*E43)</f>
        <v/>
      </c>
      <c r="G43" s="14"/>
      <c r="H43" s="15"/>
      <c r="I43" s="16" t="str">
        <f aca="false">IF(A43="","",IFERROR((N(F43)+N(H43))/(N(D43)+N(G43)),0))</f>
        <v/>
      </c>
      <c r="J43" s="14"/>
      <c r="K43" s="16" t="str">
        <f aca="false">IF(A43="","",ROUND(N(J43)*I43,2))</f>
        <v/>
      </c>
      <c r="L43" s="14"/>
      <c r="M43" s="16" t="str">
        <f aca="false">IF(A43="","",ROUND(N(L43)*I43,2))</f>
        <v/>
      </c>
      <c r="N43" s="17" t="str">
        <f aca="false">IF(A43="","",N(D43)+N(G43)-N(J43)-N(L43))</f>
        <v/>
      </c>
      <c r="O43" s="16" t="str">
        <f aca="false">IF(A43="","",ROUND(N(F43)+N(H43)-N(K43)-N(M43),2))</f>
        <v/>
      </c>
    </row>
    <row r="44" customFormat="false" ht="15" hidden="false" customHeight="false" outlineLevel="0" collapsed="false">
      <c r="A44" s="13"/>
      <c r="B44" s="14"/>
      <c r="C44" s="14"/>
      <c r="D44" s="14"/>
      <c r="E44" s="15"/>
      <c r="F44" s="16" t="str">
        <f aca="false">IF(D44="","",D44*E44)</f>
        <v/>
      </c>
      <c r="G44" s="14"/>
      <c r="H44" s="15"/>
      <c r="I44" s="16" t="str">
        <f aca="false">IF(A44="","",IFERROR((N(F44)+N(H44))/(N(D44)+N(G44)),0))</f>
        <v/>
      </c>
      <c r="J44" s="14"/>
      <c r="K44" s="16" t="str">
        <f aca="false">IF(A44="","",ROUND(N(J44)*I44,2))</f>
        <v/>
      </c>
      <c r="L44" s="14"/>
      <c r="M44" s="16" t="str">
        <f aca="false">IF(A44="","",ROUND(N(L44)*I44,2))</f>
        <v/>
      </c>
      <c r="N44" s="17" t="str">
        <f aca="false">IF(A44="","",N(D44)+N(G44)-N(J44)-N(L44))</f>
        <v/>
      </c>
      <c r="O44" s="16" t="str">
        <f aca="false">IF(A44="","",ROUND(N(F44)+N(H44)-N(K44)-N(M44),2))</f>
        <v/>
      </c>
    </row>
    <row r="45" customFormat="false" ht="15" hidden="false" customHeight="false" outlineLevel="0" collapsed="false">
      <c r="A45" s="13"/>
      <c r="B45" s="14"/>
      <c r="C45" s="14"/>
      <c r="D45" s="14"/>
      <c r="E45" s="15"/>
      <c r="F45" s="16" t="str">
        <f aca="false">IF(D45="","",D45*E45)</f>
        <v/>
      </c>
      <c r="G45" s="14"/>
      <c r="H45" s="15"/>
      <c r="I45" s="16" t="str">
        <f aca="false">IF(A45="","",IFERROR((N(F45)+N(H45))/(N(D45)+N(G45)),0))</f>
        <v/>
      </c>
      <c r="J45" s="14"/>
      <c r="K45" s="16" t="str">
        <f aca="false">IF(A45="","",ROUND(N(J45)*I45,2))</f>
        <v/>
      </c>
      <c r="L45" s="14"/>
      <c r="M45" s="16" t="str">
        <f aca="false">IF(A45="","",ROUND(N(L45)*I45,2))</f>
        <v/>
      </c>
      <c r="N45" s="17" t="str">
        <f aca="false">IF(A45="","",N(D45)+N(G45)-N(J45)-N(L45))</f>
        <v/>
      </c>
      <c r="O45" s="16" t="str">
        <f aca="false">IF(A45="","",ROUND(N(F45)+N(H45)-N(K45)-N(M45),2))</f>
        <v/>
      </c>
    </row>
    <row r="46" customFormat="false" ht="15" hidden="false" customHeight="false" outlineLevel="0" collapsed="false">
      <c r="A46" s="13"/>
      <c r="B46" s="14"/>
      <c r="C46" s="14"/>
      <c r="D46" s="14"/>
      <c r="E46" s="15"/>
      <c r="F46" s="16" t="str">
        <f aca="false">IF(D46="","",D46*E46)</f>
        <v/>
      </c>
      <c r="G46" s="14"/>
      <c r="H46" s="15"/>
      <c r="I46" s="16" t="str">
        <f aca="false">IF(A46="","",IFERROR((N(F46)+N(H46))/(N(D46)+N(G46)),0))</f>
        <v/>
      </c>
      <c r="J46" s="14"/>
      <c r="K46" s="16" t="str">
        <f aca="false">IF(A46="","",ROUND(N(J46)*I46,2))</f>
        <v/>
      </c>
      <c r="L46" s="14"/>
      <c r="M46" s="16" t="str">
        <f aca="false">IF(A46="","",ROUND(N(L46)*I46,2))</f>
        <v/>
      </c>
      <c r="N46" s="17" t="str">
        <f aca="false">IF(A46="","",N(D46)+N(G46)-N(J46)-N(L46))</f>
        <v/>
      </c>
      <c r="O46" s="16" t="str">
        <f aca="false">IF(A46="","",ROUND(N(F46)+N(H46)-N(K46)-N(M46),2))</f>
        <v/>
      </c>
    </row>
    <row r="47" customFormat="false" ht="15" hidden="false" customHeight="false" outlineLevel="0" collapsed="false">
      <c r="A47" s="13"/>
      <c r="B47" s="14"/>
      <c r="C47" s="14"/>
      <c r="D47" s="14"/>
      <c r="E47" s="15"/>
      <c r="F47" s="16" t="str">
        <f aca="false">IF(D47="","",D47*E47)</f>
        <v/>
      </c>
      <c r="G47" s="14"/>
      <c r="H47" s="15"/>
      <c r="I47" s="16" t="str">
        <f aca="false">IF(A47="","",IFERROR((N(F47)+N(H47))/(N(D47)+N(G47)),0))</f>
        <v/>
      </c>
      <c r="J47" s="14"/>
      <c r="K47" s="16" t="str">
        <f aca="false">IF(A47="","",ROUND(N(J47)*I47,2))</f>
        <v/>
      </c>
      <c r="L47" s="14"/>
      <c r="M47" s="16" t="str">
        <f aca="false">IF(A47="","",ROUND(N(L47)*I47,2))</f>
        <v/>
      </c>
      <c r="N47" s="17" t="str">
        <f aca="false">IF(A47="","",N(D47)+N(G47)-N(J47)-N(L47))</f>
        <v/>
      </c>
      <c r="O47" s="16" t="str">
        <f aca="false">IF(A47="","",ROUND(N(F47)+N(H47)-N(K47)-N(M47),2))</f>
        <v/>
      </c>
    </row>
    <row r="48" customFormat="false" ht="15" hidden="false" customHeight="false" outlineLevel="0" collapsed="false">
      <c r="A48" s="13"/>
      <c r="B48" s="14"/>
      <c r="C48" s="14"/>
      <c r="D48" s="14"/>
      <c r="E48" s="15"/>
      <c r="F48" s="16" t="str">
        <f aca="false">IF(D48="","",D48*E48)</f>
        <v/>
      </c>
      <c r="G48" s="14"/>
      <c r="H48" s="15"/>
      <c r="I48" s="16" t="str">
        <f aca="false">IF(A48="","",IFERROR((N(F48)+N(H48))/(N(D48)+N(G48)),0))</f>
        <v/>
      </c>
      <c r="J48" s="14"/>
      <c r="K48" s="16" t="str">
        <f aca="false">IF(A48="","",ROUND(N(J48)*I48,2))</f>
        <v/>
      </c>
      <c r="L48" s="14"/>
      <c r="M48" s="16" t="str">
        <f aca="false">IF(A48="","",ROUND(N(L48)*I48,2))</f>
        <v/>
      </c>
      <c r="N48" s="17" t="str">
        <f aca="false">IF(A48="","",N(D48)+N(G48)-N(J48)-N(L48))</f>
        <v/>
      </c>
      <c r="O48" s="16" t="str">
        <f aca="false">IF(A48="","",ROUND(N(F48)+N(H48)-N(K48)-N(M48),2))</f>
        <v/>
      </c>
    </row>
    <row r="49" customFormat="false" ht="15" hidden="false" customHeight="false" outlineLevel="0" collapsed="false">
      <c r="A49" s="13"/>
      <c r="B49" s="14"/>
      <c r="C49" s="14"/>
      <c r="D49" s="14"/>
      <c r="E49" s="15"/>
      <c r="F49" s="16" t="str">
        <f aca="false">IF(D49="","",D49*E49)</f>
        <v/>
      </c>
      <c r="G49" s="14"/>
      <c r="H49" s="15"/>
      <c r="I49" s="16" t="str">
        <f aca="false">IF(A49="","",IFERROR((N(F49)+N(H49))/(N(D49)+N(G49)),0))</f>
        <v/>
      </c>
      <c r="J49" s="14"/>
      <c r="K49" s="16" t="str">
        <f aca="false">IF(A49="","",ROUND(N(J49)*I49,2))</f>
        <v/>
      </c>
      <c r="L49" s="14"/>
      <c r="M49" s="16" t="str">
        <f aca="false">IF(A49="","",ROUND(N(L49)*I49,2))</f>
        <v/>
      </c>
      <c r="N49" s="17" t="str">
        <f aca="false">IF(A49="","",N(D49)+N(G49)-N(J49)-N(L49))</f>
        <v/>
      </c>
      <c r="O49" s="16" t="str">
        <f aca="false">IF(A49="","",ROUND(N(F49)+N(H49)-N(K49)-N(M49),2))</f>
        <v/>
      </c>
    </row>
    <row r="50" customFormat="false" ht="15" hidden="false" customHeight="false" outlineLevel="0" collapsed="false">
      <c r="A50" s="13"/>
      <c r="B50" s="14"/>
      <c r="C50" s="14"/>
      <c r="D50" s="14"/>
      <c r="E50" s="15"/>
      <c r="F50" s="16" t="str">
        <f aca="false">IF(D50="","",D50*E50)</f>
        <v/>
      </c>
      <c r="G50" s="14"/>
      <c r="H50" s="15"/>
      <c r="I50" s="16" t="str">
        <f aca="false">IF(A50="","",IFERROR((N(F50)+N(H50))/(N(D50)+N(G50)),0))</f>
        <v/>
      </c>
      <c r="J50" s="14"/>
      <c r="K50" s="16" t="str">
        <f aca="false">IF(A50="","",ROUND(N(J50)*I50,2))</f>
        <v/>
      </c>
      <c r="L50" s="14"/>
      <c r="M50" s="16" t="str">
        <f aca="false">IF(A50="","",ROUND(N(L50)*I50,2))</f>
        <v/>
      </c>
      <c r="N50" s="17" t="str">
        <f aca="false">IF(A50="","",N(D50)+N(G50)-N(J50)-N(L50))</f>
        <v/>
      </c>
      <c r="O50" s="16" t="str">
        <f aca="false">IF(A50="","",ROUND(N(F50)+N(H50)-N(K50)-N(M50),2))</f>
        <v/>
      </c>
    </row>
    <row r="51" customFormat="false" ht="15" hidden="false" customHeight="false" outlineLevel="0" collapsed="false">
      <c r="A51" s="13"/>
      <c r="B51" s="14"/>
      <c r="C51" s="14"/>
      <c r="D51" s="14"/>
      <c r="E51" s="15"/>
      <c r="F51" s="16" t="str">
        <f aca="false">IF(D51="","",D51*E51)</f>
        <v/>
      </c>
      <c r="G51" s="14"/>
      <c r="H51" s="15"/>
      <c r="I51" s="16" t="str">
        <f aca="false">IF(A51="","",IFERROR((N(F51)+N(H51))/(N(D51)+N(G51)),0))</f>
        <v/>
      </c>
      <c r="J51" s="14"/>
      <c r="K51" s="16" t="str">
        <f aca="false">IF(A51="","",ROUND(N(J51)*I51,2))</f>
        <v/>
      </c>
      <c r="L51" s="14"/>
      <c r="M51" s="16" t="str">
        <f aca="false">IF(A51="","",ROUND(N(L51)*I51,2))</f>
        <v/>
      </c>
      <c r="N51" s="17" t="str">
        <f aca="false">IF(A51="","",N(D51)+N(G51)-N(J51)-N(L51))</f>
        <v/>
      </c>
      <c r="O51" s="16" t="str">
        <f aca="false">IF(A51="","",ROUND(N(F51)+N(H51)-N(K51)-N(M51),2))</f>
        <v/>
      </c>
    </row>
    <row r="52" customFormat="false" ht="15" hidden="false" customHeight="false" outlineLevel="0" collapsed="false">
      <c r="A52" s="13"/>
      <c r="B52" s="14"/>
      <c r="C52" s="14"/>
      <c r="D52" s="14"/>
      <c r="E52" s="15"/>
      <c r="F52" s="16" t="str">
        <f aca="false">IF(D52="","",D52*E52)</f>
        <v/>
      </c>
      <c r="G52" s="14"/>
      <c r="H52" s="15"/>
      <c r="I52" s="16" t="str">
        <f aca="false">IF(A52="","",IFERROR((N(F52)+N(H52))/(N(D52)+N(G52)),0))</f>
        <v/>
      </c>
      <c r="J52" s="14"/>
      <c r="K52" s="16" t="str">
        <f aca="false">IF(A52="","",ROUND(N(J52)*I52,2))</f>
        <v/>
      </c>
      <c r="L52" s="14"/>
      <c r="M52" s="16" t="str">
        <f aca="false">IF(A52="","",ROUND(N(L52)*I52,2))</f>
        <v/>
      </c>
      <c r="N52" s="17" t="str">
        <f aca="false">IF(A52="","",N(D52)+N(G52)-N(J52)-N(L52))</f>
        <v/>
      </c>
      <c r="O52" s="16" t="str">
        <f aca="false">IF(A52="","",ROUND(N(F52)+N(H52)-N(K52)-N(M52),2))</f>
        <v/>
      </c>
    </row>
    <row r="53" customFormat="false" ht="15" hidden="false" customHeight="false" outlineLevel="0" collapsed="false">
      <c r="A53" s="13"/>
      <c r="B53" s="14"/>
      <c r="C53" s="14"/>
      <c r="D53" s="14"/>
      <c r="E53" s="15"/>
      <c r="F53" s="16" t="str">
        <f aca="false">IF(D53="","",D53*E53)</f>
        <v/>
      </c>
      <c r="G53" s="14"/>
      <c r="H53" s="15"/>
      <c r="I53" s="16" t="str">
        <f aca="false">IF(A53="","",IFERROR((N(F53)+N(H53))/(N(D53)+N(G53)),0))</f>
        <v/>
      </c>
      <c r="J53" s="14"/>
      <c r="K53" s="16" t="str">
        <f aca="false">IF(A53="","",ROUND(N(J53)*I53,2))</f>
        <v/>
      </c>
      <c r="L53" s="14"/>
      <c r="M53" s="16" t="str">
        <f aca="false">IF(A53="","",ROUND(N(L53)*I53,2))</f>
        <v/>
      </c>
      <c r="N53" s="17" t="str">
        <f aca="false">IF(A53="","",N(D53)+N(G53)-N(J53)-N(L53))</f>
        <v/>
      </c>
      <c r="O53" s="16" t="str">
        <f aca="false">IF(A53="","",ROUND(N(F53)+N(H53)-N(K53)-N(M53),2))</f>
        <v/>
      </c>
    </row>
    <row r="54" customFormat="false" ht="15" hidden="false" customHeight="false" outlineLevel="0" collapsed="false">
      <c r="A54" s="13"/>
      <c r="B54" s="14"/>
      <c r="C54" s="14"/>
      <c r="D54" s="14"/>
      <c r="E54" s="15"/>
      <c r="F54" s="16" t="str">
        <f aca="false">IF(D54="","",D54*E54)</f>
        <v/>
      </c>
      <c r="G54" s="14"/>
      <c r="H54" s="15"/>
      <c r="I54" s="16" t="str">
        <f aca="false">IF(A54="","",IFERROR((N(F54)+N(H54))/(N(D54)+N(G54)),0))</f>
        <v/>
      </c>
      <c r="J54" s="14"/>
      <c r="K54" s="16" t="str">
        <f aca="false">IF(A54="","",ROUND(N(J54)*I54,2))</f>
        <v/>
      </c>
      <c r="L54" s="14"/>
      <c r="M54" s="16" t="str">
        <f aca="false">IF(A54="","",ROUND(N(L54)*I54,2))</f>
        <v/>
      </c>
      <c r="N54" s="17" t="str">
        <f aca="false">IF(A54="","",N(D54)+N(G54)-N(J54)-N(L54))</f>
        <v/>
      </c>
      <c r="O54" s="16" t="str">
        <f aca="false">IF(A54="","",ROUND(N(F54)+N(H54)-N(K54)-N(M54),2))</f>
        <v/>
      </c>
    </row>
    <row r="55" customFormat="false" ht="15" hidden="false" customHeight="false" outlineLevel="0" collapsed="false">
      <c r="A55" s="13"/>
      <c r="B55" s="14"/>
      <c r="C55" s="14"/>
      <c r="D55" s="14"/>
      <c r="E55" s="15"/>
      <c r="F55" s="16" t="str">
        <f aca="false">IF(D55="","",D55*E55)</f>
        <v/>
      </c>
      <c r="G55" s="14"/>
      <c r="H55" s="15"/>
      <c r="I55" s="16" t="str">
        <f aca="false">IF(A55="","",IFERROR((N(F55)+N(H55))/(N(D55)+N(G55)),0))</f>
        <v/>
      </c>
      <c r="J55" s="14"/>
      <c r="K55" s="16" t="str">
        <f aca="false">IF(A55="","",ROUND(N(J55)*I55,2))</f>
        <v/>
      </c>
      <c r="L55" s="14"/>
      <c r="M55" s="16" t="str">
        <f aca="false">IF(A55="","",ROUND(N(L55)*I55,2))</f>
        <v/>
      </c>
      <c r="N55" s="17" t="str">
        <f aca="false">IF(A55="","",N(D55)+N(G55)-N(J55)-N(L55))</f>
        <v/>
      </c>
      <c r="O55" s="16" t="str">
        <f aca="false">IF(A55="","",ROUND(N(F55)+N(H55)-N(K55)-N(M55),2))</f>
        <v/>
      </c>
    </row>
    <row r="56" customFormat="false" ht="15" hidden="false" customHeight="false" outlineLevel="0" collapsed="false">
      <c r="A56" s="13"/>
      <c r="B56" s="14"/>
      <c r="C56" s="14"/>
      <c r="D56" s="14"/>
      <c r="E56" s="15"/>
      <c r="F56" s="16" t="str">
        <f aca="false">IF(D56="","",D56*E56)</f>
        <v/>
      </c>
      <c r="G56" s="14"/>
      <c r="H56" s="15"/>
      <c r="I56" s="16" t="str">
        <f aca="false">IF(A56="","",IFERROR((N(F56)+N(H56))/(N(D56)+N(G56)),0))</f>
        <v/>
      </c>
      <c r="J56" s="14"/>
      <c r="K56" s="16" t="str">
        <f aca="false">IF(A56="","",ROUND(N(J56)*I56,2))</f>
        <v/>
      </c>
      <c r="L56" s="14"/>
      <c r="M56" s="16" t="str">
        <f aca="false">IF(A56="","",ROUND(N(L56)*I56,2))</f>
        <v/>
      </c>
      <c r="N56" s="17" t="str">
        <f aca="false">IF(A56="","",N(D56)+N(G56)-N(J56)-N(L56))</f>
        <v/>
      </c>
      <c r="O56" s="16" t="str">
        <f aca="false">IF(A56="","",ROUND(N(F56)+N(H56)-N(K56)-N(M56),2))</f>
        <v/>
      </c>
    </row>
    <row r="57" customFormat="false" ht="15" hidden="false" customHeight="false" outlineLevel="0" collapsed="false">
      <c r="A57" s="13"/>
      <c r="B57" s="14"/>
      <c r="C57" s="14"/>
      <c r="D57" s="14"/>
      <c r="E57" s="15"/>
      <c r="F57" s="16" t="str">
        <f aca="false">IF(D57="","",D57*E57)</f>
        <v/>
      </c>
      <c r="G57" s="14"/>
      <c r="H57" s="15"/>
      <c r="I57" s="16" t="str">
        <f aca="false">IF(A57="","",IFERROR((N(F57)+N(H57))/(N(D57)+N(G57)),0))</f>
        <v/>
      </c>
      <c r="J57" s="14"/>
      <c r="K57" s="16" t="str">
        <f aca="false">IF(A57="","",ROUND(N(J57)*I57,2))</f>
        <v/>
      </c>
      <c r="L57" s="14"/>
      <c r="M57" s="16" t="str">
        <f aca="false">IF(A57="","",ROUND(N(L57)*I57,2))</f>
        <v/>
      </c>
      <c r="N57" s="17" t="str">
        <f aca="false">IF(A57="","",N(D57)+N(G57)-N(J57)-N(L57))</f>
        <v/>
      </c>
      <c r="O57" s="16" t="str">
        <f aca="false">IF(A57="","",ROUND(N(F57)+N(H57)-N(K57)-N(M57),2))</f>
        <v/>
      </c>
    </row>
    <row r="58" customFormat="false" ht="15" hidden="false" customHeight="false" outlineLevel="0" collapsed="false">
      <c r="A58" s="13"/>
      <c r="B58" s="14"/>
      <c r="C58" s="14"/>
      <c r="D58" s="14"/>
      <c r="E58" s="15"/>
      <c r="F58" s="16" t="str">
        <f aca="false">IF(D58="","",D58*E58)</f>
        <v/>
      </c>
      <c r="G58" s="14"/>
      <c r="H58" s="15"/>
      <c r="I58" s="16" t="str">
        <f aca="false">IF(A58="","",IFERROR((N(F58)+N(H58))/(N(D58)+N(G58)),0))</f>
        <v/>
      </c>
      <c r="J58" s="14"/>
      <c r="K58" s="16" t="str">
        <f aca="false">IF(A58="","",ROUND(N(J58)*I58,2))</f>
        <v/>
      </c>
      <c r="L58" s="14"/>
      <c r="M58" s="16" t="str">
        <f aca="false">IF(A58="","",ROUND(N(L58)*I58,2))</f>
        <v/>
      </c>
      <c r="N58" s="17" t="str">
        <f aca="false">IF(A58="","",N(D58)+N(G58)-N(J58)-N(L58))</f>
        <v/>
      </c>
      <c r="O58" s="16" t="str">
        <f aca="false">IF(A58="","",ROUND(N(F58)+N(H58)-N(K58)-N(M58),2))</f>
        <v/>
      </c>
    </row>
    <row r="59" customFormat="false" ht="15" hidden="false" customHeight="false" outlineLevel="0" collapsed="false">
      <c r="A59" s="13"/>
      <c r="B59" s="14"/>
      <c r="C59" s="14"/>
      <c r="D59" s="14"/>
      <c r="E59" s="15"/>
      <c r="F59" s="16" t="str">
        <f aca="false">IF(D59="","",D59*E59)</f>
        <v/>
      </c>
      <c r="G59" s="14"/>
      <c r="H59" s="15"/>
      <c r="I59" s="16" t="str">
        <f aca="false">IF(A59="","",IFERROR((N(F59)+N(H59))/(N(D59)+N(G59)),0))</f>
        <v/>
      </c>
      <c r="J59" s="14"/>
      <c r="K59" s="16" t="str">
        <f aca="false">IF(A59="","",ROUND(N(J59)*I59,2))</f>
        <v/>
      </c>
      <c r="L59" s="14"/>
      <c r="M59" s="16" t="str">
        <f aca="false">IF(A59="","",ROUND(N(L59)*I59,2))</f>
        <v/>
      </c>
      <c r="N59" s="17" t="str">
        <f aca="false">IF(A59="","",N(D59)+N(G59)-N(J59)-N(L59))</f>
        <v/>
      </c>
      <c r="O59" s="16" t="str">
        <f aca="false">IF(A59="","",ROUND(N(F59)+N(H59)-N(K59)-N(M59),2))</f>
        <v/>
      </c>
    </row>
    <row r="60" customFormat="false" ht="15" hidden="false" customHeight="false" outlineLevel="0" collapsed="false">
      <c r="A60" s="13"/>
      <c r="B60" s="14"/>
      <c r="C60" s="14"/>
      <c r="D60" s="14"/>
      <c r="E60" s="15"/>
      <c r="F60" s="16" t="str">
        <f aca="false">IF(D60="","",D60*E60)</f>
        <v/>
      </c>
      <c r="G60" s="14"/>
      <c r="H60" s="15"/>
      <c r="I60" s="16" t="str">
        <f aca="false">IF(A60="","",IFERROR((N(F60)+N(H60))/(N(D60)+N(G60)),0))</f>
        <v/>
      </c>
      <c r="J60" s="14"/>
      <c r="K60" s="16" t="str">
        <f aca="false">IF(A60="","",ROUND(N(J60)*I60,2))</f>
        <v/>
      </c>
      <c r="L60" s="14"/>
      <c r="M60" s="16" t="str">
        <f aca="false">IF(A60="","",ROUND(N(L60)*I60,2))</f>
        <v/>
      </c>
      <c r="N60" s="17" t="str">
        <f aca="false">IF(A60="","",N(D60)+N(G60)-N(J60)-N(L60))</f>
        <v/>
      </c>
      <c r="O60" s="16" t="str">
        <f aca="false">IF(A60="","",ROUND(N(F60)+N(H60)-N(K60)-N(M60),2))</f>
        <v/>
      </c>
    </row>
    <row r="61" customFormat="false" ht="15" hidden="false" customHeight="false" outlineLevel="0" collapsed="false">
      <c r="A61" s="13"/>
      <c r="B61" s="14"/>
      <c r="C61" s="14"/>
      <c r="D61" s="14"/>
      <c r="E61" s="15"/>
      <c r="F61" s="16" t="str">
        <f aca="false">IF(D61="","",D61*E61)</f>
        <v/>
      </c>
      <c r="G61" s="14"/>
      <c r="H61" s="15"/>
      <c r="I61" s="16" t="str">
        <f aca="false">IF(A61="","",IFERROR((N(F61)+N(H61))/(N(D61)+N(G61)),0))</f>
        <v/>
      </c>
      <c r="J61" s="14"/>
      <c r="K61" s="16" t="str">
        <f aca="false">IF(A61="","",ROUND(N(J61)*I61,2))</f>
        <v/>
      </c>
      <c r="L61" s="14"/>
      <c r="M61" s="16" t="str">
        <f aca="false">IF(A61="","",ROUND(N(L61)*I61,2))</f>
        <v/>
      </c>
      <c r="N61" s="17" t="str">
        <f aca="false">IF(A61="","",N(D61)+N(G61)-N(J61)-N(L61))</f>
        <v/>
      </c>
      <c r="O61" s="16" t="str">
        <f aca="false">IF(A61="","",ROUND(N(F61)+N(H61)-N(K61)-N(M61),2))</f>
        <v/>
      </c>
    </row>
    <row r="62" customFormat="false" ht="15" hidden="false" customHeight="false" outlineLevel="0" collapsed="false">
      <c r="A62" s="13"/>
      <c r="B62" s="14"/>
      <c r="C62" s="14"/>
      <c r="D62" s="14"/>
      <c r="E62" s="15"/>
      <c r="F62" s="16" t="str">
        <f aca="false">IF(D62="","",D62*E62)</f>
        <v/>
      </c>
      <c r="G62" s="14"/>
      <c r="H62" s="15"/>
      <c r="I62" s="16" t="str">
        <f aca="false">IF(A62="","",IFERROR((N(F62)+N(H62))/(N(D62)+N(G62)),0))</f>
        <v/>
      </c>
      <c r="J62" s="14"/>
      <c r="K62" s="16" t="str">
        <f aca="false">IF(A62="","",ROUND(N(J62)*I62,2))</f>
        <v/>
      </c>
      <c r="L62" s="14"/>
      <c r="M62" s="16" t="str">
        <f aca="false">IF(A62="","",ROUND(N(L62)*I62,2))</f>
        <v/>
      </c>
      <c r="N62" s="17" t="str">
        <f aca="false">IF(A62="","",N(D62)+N(G62)-N(J62)-N(L62))</f>
        <v/>
      </c>
      <c r="O62" s="16" t="str">
        <f aca="false">IF(A62="","",ROUND(N(F62)+N(H62)-N(K62)-N(M62),2))</f>
        <v/>
      </c>
    </row>
    <row r="63" customFormat="false" ht="15" hidden="false" customHeight="false" outlineLevel="0" collapsed="false">
      <c r="A63" s="13"/>
      <c r="B63" s="14"/>
      <c r="C63" s="14"/>
      <c r="D63" s="14"/>
      <c r="E63" s="15"/>
      <c r="F63" s="16" t="str">
        <f aca="false">IF(D63="","",D63*E63)</f>
        <v/>
      </c>
      <c r="G63" s="14"/>
      <c r="H63" s="15"/>
      <c r="I63" s="16" t="str">
        <f aca="false">IF(A63="","",IFERROR((N(F63)+N(H63))/(N(D63)+N(G63)),0))</f>
        <v/>
      </c>
      <c r="J63" s="14"/>
      <c r="K63" s="16" t="str">
        <f aca="false">IF(A63="","",ROUND(N(J63)*I63,2))</f>
        <v/>
      </c>
      <c r="L63" s="14"/>
      <c r="M63" s="16" t="str">
        <f aca="false">IF(A63="","",ROUND(N(L63)*I63,2))</f>
        <v/>
      </c>
      <c r="N63" s="17" t="str">
        <f aca="false">IF(A63="","",N(D63)+N(G63)-N(J63)-N(L63))</f>
        <v/>
      </c>
      <c r="O63" s="16" t="str">
        <f aca="false">IF(A63="","",ROUND(N(F63)+N(H63)-N(K63)-N(M63),2))</f>
        <v/>
      </c>
    </row>
    <row r="64" customFormat="false" ht="15" hidden="false" customHeight="false" outlineLevel="0" collapsed="false">
      <c r="A64" s="13"/>
      <c r="B64" s="14"/>
      <c r="C64" s="14"/>
      <c r="D64" s="14"/>
      <c r="E64" s="15"/>
      <c r="F64" s="16" t="str">
        <f aca="false">IF(D64="","",D64*E64)</f>
        <v/>
      </c>
      <c r="G64" s="14"/>
      <c r="H64" s="15"/>
      <c r="I64" s="16" t="str">
        <f aca="false">IF(A64="","",IFERROR((N(F64)+N(H64))/(N(D64)+N(G64)),0))</f>
        <v/>
      </c>
      <c r="J64" s="14"/>
      <c r="K64" s="16" t="str">
        <f aca="false">IF(A64="","",ROUND(N(J64)*I64,2))</f>
        <v/>
      </c>
      <c r="L64" s="14"/>
      <c r="M64" s="16" t="str">
        <f aca="false">IF(A64="","",ROUND(N(L64)*I64,2))</f>
        <v/>
      </c>
      <c r="N64" s="17" t="str">
        <f aca="false">IF(A64="","",N(D64)+N(G64)-N(J64)-N(L64))</f>
        <v/>
      </c>
      <c r="O64" s="16" t="str">
        <f aca="false">IF(A64="","",ROUND(N(F64)+N(H64)-N(K64)-N(M64),2))</f>
        <v/>
      </c>
    </row>
    <row r="65" customFormat="false" ht="15" hidden="false" customHeight="false" outlineLevel="0" collapsed="false">
      <c r="A65" s="13"/>
      <c r="B65" s="14"/>
      <c r="C65" s="14"/>
      <c r="D65" s="14"/>
      <c r="E65" s="15"/>
      <c r="F65" s="16" t="str">
        <f aca="false">IF(D65="","",D65*E65)</f>
        <v/>
      </c>
      <c r="G65" s="14"/>
      <c r="H65" s="15"/>
      <c r="I65" s="16" t="str">
        <f aca="false">IF(A65="","",IFERROR((N(F65)+N(H65))/(N(D65)+N(G65)),0))</f>
        <v/>
      </c>
      <c r="J65" s="14"/>
      <c r="K65" s="16" t="str">
        <f aca="false">IF(A65="","",ROUND(N(J65)*I65,2))</f>
        <v/>
      </c>
      <c r="L65" s="14"/>
      <c r="M65" s="16" t="str">
        <f aca="false">IF(A65="","",ROUND(N(L65)*I65,2))</f>
        <v/>
      </c>
      <c r="N65" s="17" t="str">
        <f aca="false">IF(A65="","",N(D65)+N(G65)-N(J65)-N(L65))</f>
        <v/>
      </c>
      <c r="O65" s="16" t="str">
        <f aca="false">IF(A65="","",ROUND(N(F65)+N(H65)-N(K65)-N(M65),2))</f>
        <v/>
      </c>
    </row>
    <row r="66" customFormat="false" ht="15" hidden="false" customHeight="false" outlineLevel="0" collapsed="false">
      <c r="A66" s="13"/>
      <c r="B66" s="14"/>
      <c r="C66" s="14"/>
      <c r="D66" s="14"/>
      <c r="E66" s="15"/>
      <c r="F66" s="16" t="str">
        <f aca="false">IF(D66="","",D66*E66)</f>
        <v/>
      </c>
      <c r="G66" s="14"/>
      <c r="H66" s="15"/>
      <c r="I66" s="16" t="str">
        <f aca="false">IF(A66="","",IFERROR((N(F66)+N(H66))/(N(D66)+N(G66)),0))</f>
        <v/>
      </c>
      <c r="J66" s="14"/>
      <c r="K66" s="16" t="str">
        <f aca="false">IF(A66="","",ROUND(N(J66)*I66,2))</f>
        <v/>
      </c>
      <c r="L66" s="14"/>
      <c r="M66" s="16" t="str">
        <f aca="false">IF(A66="","",ROUND(N(L66)*I66,2))</f>
        <v/>
      </c>
      <c r="N66" s="17" t="str">
        <f aca="false">IF(A66="","",N(D66)+N(G66)-N(J66)-N(L66))</f>
        <v/>
      </c>
      <c r="O66" s="16" t="str">
        <f aca="false">IF(A66="","",ROUND(N(F66)+N(H66)-N(K66)-N(M66),2))</f>
        <v/>
      </c>
    </row>
    <row r="67" customFormat="false" ht="15" hidden="false" customHeight="false" outlineLevel="0" collapsed="false">
      <c r="A67" s="13"/>
      <c r="B67" s="14"/>
      <c r="C67" s="14"/>
      <c r="D67" s="14"/>
      <c r="E67" s="15"/>
      <c r="F67" s="16" t="str">
        <f aca="false">IF(D67="","",D67*E67)</f>
        <v/>
      </c>
      <c r="G67" s="14"/>
      <c r="H67" s="15"/>
      <c r="I67" s="16" t="str">
        <f aca="false">IF(A67="","",IFERROR((N(F67)+N(H67))/(N(D67)+N(G67)),0))</f>
        <v/>
      </c>
      <c r="J67" s="14"/>
      <c r="K67" s="16" t="str">
        <f aca="false">IF(A67="","",ROUND(N(J67)*I67,2))</f>
        <v/>
      </c>
      <c r="L67" s="14"/>
      <c r="M67" s="16" t="str">
        <f aca="false">IF(A67="","",ROUND(N(L67)*I67,2))</f>
        <v/>
      </c>
      <c r="N67" s="17" t="str">
        <f aca="false">IF(A67="","",N(D67)+N(G67)-N(J67)-N(L67))</f>
        <v/>
      </c>
      <c r="O67" s="16" t="str">
        <f aca="false">IF(A67="","",ROUND(N(F67)+N(H67)-N(K67)-N(M67),2))</f>
        <v/>
      </c>
    </row>
    <row r="68" customFormat="false" ht="15" hidden="false" customHeight="false" outlineLevel="0" collapsed="false">
      <c r="A68" s="13"/>
      <c r="B68" s="14"/>
      <c r="C68" s="14"/>
      <c r="D68" s="14"/>
      <c r="E68" s="15"/>
      <c r="F68" s="16" t="str">
        <f aca="false">IF(D68="","",D68*E68)</f>
        <v/>
      </c>
      <c r="G68" s="14"/>
      <c r="H68" s="15"/>
      <c r="I68" s="16" t="str">
        <f aca="false">IF(A68="","",IFERROR((N(F68)+N(H68))/(N(D68)+N(G68)),0))</f>
        <v/>
      </c>
      <c r="J68" s="14"/>
      <c r="K68" s="16" t="str">
        <f aca="false">IF(A68="","",ROUND(N(J68)*I68,2))</f>
        <v/>
      </c>
      <c r="L68" s="14"/>
      <c r="M68" s="16" t="str">
        <f aca="false">IF(A68="","",ROUND(N(L68)*I68,2))</f>
        <v/>
      </c>
      <c r="N68" s="17" t="str">
        <f aca="false">IF(A68="","",N(D68)+N(G68)-N(J68)-N(L68))</f>
        <v/>
      </c>
      <c r="O68" s="16" t="str">
        <f aca="false">IF(A68="","",ROUND(N(F68)+N(H68)-N(K68)-N(M68),2))</f>
        <v/>
      </c>
    </row>
    <row r="69" customFormat="false" ht="15" hidden="false" customHeight="false" outlineLevel="0" collapsed="false">
      <c r="A69" s="13"/>
      <c r="B69" s="14"/>
      <c r="C69" s="14"/>
      <c r="D69" s="14"/>
      <c r="E69" s="15"/>
      <c r="F69" s="16" t="str">
        <f aca="false">IF(D69="","",D69*E69)</f>
        <v/>
      </c>
      <c r="G69" s="14"/>
      <c r="H69" s="15"/>
      <c r="I69" s="16" t="str">
        <f aca="false">IF(A69="","",IFERROR((N(F69)+N(H69))/(N(D69)+N(G69)),0))</f>
        <v/>
      </c>
      <c r="J69" s="14"/>
      <c r="K69" s="16" t="str">
        <f aca="false">IF(A69="","",ROUND(N(J69)*I69,2))</f>
        <v/>
      </c>
      <c r="L69" s="14"/>
      <c r="M69" s="16" t="str">
        <f aca="false">IF(A69="","",ROUND(N(L69)*I69,2))</f>
        <v/>
      </c>
      <c r="N69" s="17" t="str">
        <f aca="false">IF(A69="","",N(D69)+N(G69)-N(J69)-N(L69))</f>
        <v/>
      </c>
      <c r="O69" s="16" t="str">
        <f aca="false">IF(A69="","",ROUND(N(F69)+N(H69)-N(K69)-N(M69),2))</f>
        <v/>
      </c>
    </row>
    <row r="70" customFormat="false" ht="15" hidden="false" customHeight="false" outlineLevel="0" collapsed="false">
      <c r="A70" s="13"/>
      <c r="B70" s="14"/>
      <c r="C70" s="14"/>
      <c r="D70" s="14"/>
      <c r="E70" s="15"/>
      <c r="F70" s="16" t="str">
        <f aca="false">IF(D70="","",D70*E70)</f>
        <v/>
      </c>
      <c r="G70" s="14"/>
      <c r="H70" s="15"/>
      <c r="I70" s="16" t="str">
        <f aca="false">IF(A70="","",IFERROR((N(F70)+N(H70))/(N(D70)+N(G70)),0))</f>
        <v/>
      </c>
      <c r="J70" s="14"/>
      <c r="K70" s="16" t="str">
        <f aca="false">IF(A70="","",ROUND(N(J70)*I70,2))</f>
        <v/>
      </c>
      <c r="L70" s="14"/>
      <c r="M70" s="16" t="str">
        <f aca="false">IF(A70="","",ROUND(N(L70)*I70,2))</f>
        <v/>
      </c>
      <c r="N70" s="17" t="str">
        <f aca="false">IF(A70="","",N(D70)+N(G70)-N(J70)-N(L70))</f>
        <v/>
      </c>
      <c r="O70" s="16" t="str">
        <f aca="false">IF(A70="","",ROUND(N(F70)+N(H70)-N(K70)-N(M70),2))</f>
        <v/>
      </c>
    </row>
    <row r="71" customFormat="false" ht="15" hidden="false" customHeight="false" outlineLevel="0" collapsed="false">
      <c r="A71" s="13"/>
      <c r="B71" s="14"/>
      <c r="C71" s="14"/>
      <c r="D71" s="14"/>
      <c r="E71" s="15"/>
      <c r="F71" s="16" t="str">
        <f aca="false">IF(D71="","",D71*E71)</f>
        <v/>
      </c>
      <c r="G71" s="14"/>
      <c r="H71" s="15"/>
      <c r="I71" s="16" t="str">
        <f aca="false">IF(A71="","",IFERROR((N(F71)+N(H71))/(N(D71)+N(G71)),0))</f>
        <v/>
      </c>
      <c r="J71" s="14"/>
      <c r="K71" s="16" t="str">
        <f aca="false">IF(A71="","",ROUND(N(J71)*I71,2))</f>
        <v/>
      </c>
      <c r="L71" s="14"/>
      <c r="M71" s="16" t="str">
        <f aca="false">IF(A71="","",ROUND(N(L71)*I71,2))</f>
        <v/>
      </c>
      <c r="N71" s="17" t="str">
        <f aca="false">IF(A71="","",N(D71)+N(G71)-N(J71)-N(L71))</f>
        <v/>
      </c>
      <c r="O71" s="16" t="str">
        <f aca="false">IF(A71="","",ROUND(N(F71)+N(H71)-N(K71)-N(M71),2))</f>
        <v/>
      </c>
    </row>
    <row r="72" customFormat="false" ht="15" hidden="false" customHeight="false" outlineLevel="0" collapsed="false">
      <c r="A72" s="13"/>
      <c r="B72" s="14"/>
      <c r="C72" s="14"/>
      <c r="D72" s="14"/>
      <c r="E72" s="15"/>
      <c r="F72" s="16" t="str">
        <f aca="false">IF(D72="","",D72*E72)</f>
        <v/>
      </c>
      <c r="G72" s="14"/>
      <c r="H72" s="15"/>
      <c r="I72" s="16" t="str">
        <f aca="false">IF(A72="","",IFERROR((N(F72)+N(H72))/(N(D72)+N(G72)),0))</f>
        <v/>
      </c>
      <c r="J72" s="14"/>
      <c r="K72" s="16" t="str">
        <f aca="false">IF(A72="","",ROUND(N(J72)*I72,2))</f>
        <v/>
      </c>
      <c r="L72" s="14"/>
      <c r="M72" s="16" t="str">
        <f aca="false">IF(A72="","",ROUND(N(L72)*I72,2))</f>
        <v/>
      </c>
      <c r="N72" s="17" t="str">
        <f aca="false">IF(A72="","",N(D72)+N(G72)-N(J72)-N(L72))</f>
        <v/>
      </c>
      <c r="O72" s="16" t="str">
        <f aca="false">IF(A72="","",ROUND(N(F72)+N(H72)-N(K72)-N(M72),2))</f>
        <v/>
      </c>
    </row>
    <row r="73" customFormat="false" ht="15" hidden="false" customHeight="false" outlineLevel="0" collapsed="false">
      <c r="A73" s="13"/>
      <c r="B73" s="14"/>
      <c r="C73" s="14"/>
      <c r="D73" s="14"/>
      <c r="E73" s="15"/>
      <c r="F73" s="16" t="str">
        <f aca="false">IF(D73="","",D73*E73)</f>
        <v/>
      </c>
      <c r="G73" s="14"/>
      <c r="H73" s="15"/>
      <c r="I73" s="16" t="str">
        <f aca="false">IF(A73="","",IFERROR((N(F73)+N(H73))/(N(D73)+N(G73)),0))</f>
        <v/>
      </c>
      <c r="J73" s="14"/>
      <c r="K73" s="16" t="str">
        <f aca="false">IF(A73="","",ROUND(N(J73)*I73,2))</f>
        <v/>
      </c>
      <c r="L73" s="14"/>
      <c r="M73" s="16" t="str">
        <f aca="false">IF(A73="","",ROUND(N(L73)*I73,2))</f>
        <v/>
      </c>
      <c r="N73" s="17" t="str">
        <f aca="false">IF(A73="","",N(D73)+N(G73)-N(J73)-N(L73))</f>
        <v/>
      </c>
      <c r="O73" s="16" t="str">
        <f aca="false">IF(A73="","",ROUND(N(F73)+N(H73)-N(K73)-N(M73),2))</f>
        <v/>
      </c>
    </row>
    <row r="74" customFormat="false" ht="15" hidden="false" customHeight="false" outlineLevel="0" collapsed="false">
      <c r="A74" s="13"/>
      <c r="B74" s="14"/>
      <c r="C74" s="14"/>
      <c r="D74" s="14"/>
      <c r="E74" s="15"/>
      <c r="F74" s="16" t="str">
        <f aca="false">IF(D74="","",D74*E74)</f>
        <v/>
      </c>
      <c r="G74" s="14"/>
      <c r="H74" s="15"/>
      <c r="I74" s="16" t="str">
        <f aca="false">IF(A74="","",IFERROR((N(F74)+N(H74))/(N(D74)+N(G74)),0))</f>
        <v/>
      </c>
      <c r="J74" s="14"/>
      <c r="K74" s="16" t="str">
        <f aca="false">IF(A74="","",ROUND(N(J74)*I74,2))</f>
        <v/>
      </c>
      <c r="L74" s="14"/>
      <c r="M74" s="16" t="str">
        <f aca="false">IF(A74="","",ROUND(N(L74)*I74,2))</f>
        <v/>
      </c>
      <c r="N74" s="17" t="str">
        <f aca="false">IF(A74="","",N(D74)+N(G74)-N(J74)-N(L74))</f>
        <v/>
      </c>
      <c r="O74" s="16" t="str">
        <f aca="false">IF(A74="","",ROUND(N(F74)+N(H74)-N(K74)-N(M74),2))</f>
        <v/>
      </c>
    </row>
    <row r="75" customFormat="false" ht="15" hidden="false" customHeight="false" outlineLevel="0" collapsed="false">
      <c r="A75" s="13"/>
      <c r="B75" s="14"/>
      <c r="C75" s="14"/>
      <c r="D75" s="14"/>
      <c r="E75" s="15"/>
      <c r="F75" s="16" t="str">
        <f aca="false">IF(D75="","",D75*E75)</f>
        <v/>
      </c>
      <c r="G75" s="14"/>
      <c r="H75" s="15"/>
      <c r="I75" s="16" t="str">
        <f aca="false">IF(A75="","",IFERROR((N(F75)+N(H75))/(N(D75)+N(G75)),0))</f>
        <v/>
      </c>
      <c r="J75" s="14"/>
      <c r="K75" s="16" t="str">
        <f aca="false">IF(A75="","",ROUND(N(J75)*I75,2))</f>
        <v/>
      </c>
      <c r="L75" s="14"/>
      <c r="M75" s="16" t="str">
        <f aca="false">IF(A75="","",ROUND(N(L75)*I75,2))</f>
        <v/>
      </c>
      <c r="N75" s="17" t="str">
        <f aca="false">IF(A75="","",N(D75)+N(G75)-N(J75)-N(L75))</f>
        <v/>
      </c>
      <c r="O75" s="16" t="str">
        <f aca="false">IF(A75="","",ROUND(N(F75)+N(H75)-N(K75)-N(M75),2))</f>
        <v/>
      </c>
    </row>
    <row r="76" customFormat="false" ht="15" hidden="false" customHeight="false" outlineLevel="0" collapsed="false">
      <c r="A76" s="13"/>
      <c r="B76" s="14"/>
      <c r="C76" s="14"/>
      <c r="D76" s="14"/>
      <c r="E76" s="15"/>
      <c r="F76" s="16" t="str">
        <f aca="false">IF(D76="","",D76*E76)</f>
        <v/>
      </c>
      <c r="G76" s="14"/>
      <c r="H76" s="15"/>
      <c r="I76" s="16" t="str">
        <f aca="false">IF(A76="","",IFERROR((N(F76)+N(H76))/(N(D76)+N(G76)),0))</f>
        <v/>
      </c>
      <c r="J76" s="14"/>
      <c r="K76" s="16" t="str">
        <f aca="false">IF(A76="","",ROUND(N(J76)*I76,2))</f>
        <v/>
      </c>
      <c r="L76" s="14"/>
      <c r="M76" s="16" t="str">
        <f aca="false">IF(A76="","",ROUND(N(L76)*I76,2))</f>
        <v/>
      </c>
      <c r="N76" s="17" t="str">
        <f aca="false">IF(A76="","",N(D76)+N(G76)-N(J76)-N(L76))</f>
        <v/>
      </c>
      <c r="O76" s="16" t="str">
        <f aca="false">IF(A76="","",ROUND(N(F76)+N(H76)-N(K76)-N(M76),2))</f>
        <v/>
      </c>
    </row>
    <row r="77" customFormat="false" ht="15" hidden="false" customHeight="false" outlineLevel="0" collapsed="false">
      <c r="A77" s="13"/>
      <c r="B77" s="14"/>
      <c r="C77" s="14"/>
      <c r="D77" s="14"/>
      <c r="E77" s="15"/>
      <c r="F77" s="16" t="str">
        <f aca="false">IF(D77="","",D77*E77)</f>
        <v/>
      </c>
      <c r="G77" s="14"/>
      <c r="H77" s="15"/>
      <c r="I77" s="16" t="str">
        <f aca="false">IF(A77="","",IFERROR((N(F77)+N(H77))/(N(D77)+N(G77)),0))</f>
        <v/>
      </c>
      <c r="J77" s="14"/>
      <c r="K77" s="16" t="str">
        <f aca="false">IF(A77="","",ROUND(N(J77)*I77,2))</f>
        <v/>
      </c>
      <c r="L77" s="14"/>
      <c r="M77" s="16" t="str">
        <f aca="false">IF(A77="","",ROUND(N(L77)*I77,2))</f>
        <v/>
      </c>
      <c r="N77" s="17" t="str">
        <f aca="false">IF(A77="","",N(D77)+N(G77)-N(J77)-N(L77))</f>
        <v/>
      </c>
      <c r="O77" s="16" t="str">
        <f aca="false">IF(A77="","",ROUND(N(F77)+N(H77)-N(K77)-N(M77),2))</f>
        <v/>
      </c>
    </row>
    <row r="78" customFormat="false" ht="15" hidden="false" customHeight="false" outlineLevel="0" collapsed="false">
      <c r="A78" s="13"/>
      <c r="B78" s="14"/>
      <c r="C78" s="14"/>
      <c r="D78" s="14"/>
      <c r="E78" s="15"/>
      <c r="F78" s="16" t="str">
        <f aca="false">IF(D78="","",D78*E78)</f>
        <v/>
      </c>
      <c r="G78" s="14"/>
      <c r="H78" s="15"/>
      <c r="I78" s="16" t="str">
        <f aca="false">IF(A78="","",IFERROR((N(F78)+N(H78))/(N(D78)+N(G78)),0))</f>
        <v/>
      </c>
      <c r="J78" s="14"/>
      <c r="K78" s="16" t="str">
        <f aca="false">IF(A78="","",ROUND(N(J78)*I78,2))</f>
        <v/>
      </c>
      <c r="L78" s="14"/>
      <c r="M78" s="16" t="str">
        <f aca="false">IF(A78="","",ROUND(N(L78)*I78,2))</f>
        <v/>
      </c>
      <c r="N78" s="17" t="str">
        <f aca="false">IF(A78="","",N(D78)+N(G78)-N(J78)-N(L78))</f>
        <v/>
      </c>
      <c r="O78" s="16" t="str">
        <f aca="false">IF(A78="","",ROUND(N(F78)+N(H78)-N(K78)-N(M78),2))</f>
        <v/>
      </c>
    </row>
    <row r="79" customFormat="false" ht="15" hidden="false" customHeight="false" outlineLevel="0" collapsed="false">
      <c r="A79" s="13"/>
      <c r="B79" s="14"/>
      <c r="C79" s="14"/>
      <c r="D79" s="14"/>
      <c r="E79" s="15"/>
      <c r="F79" s="16" t="str">
        <f aca="false">IF(D79="","",D79*E79)</f>
        <v/>
      </c>
      <c r="G79" s="14"/>
      <c r="H79" s="15"/>
      <c r="I79" s="16" t="str">
        <f aca="false">IF(A79="","",IFERROR((N(F79)+N(H79))/(N(D79)+N(G79)),0))</f>
        <v/>
      </c>
      <c r="J79" s="14"/>
      <c r="K79" s="16" t="str">
        <f aca="false">IF(A79="","",ROUND(N(J79)*I79,2))</f>
        <v/>
      </c>
      <c r="L79" s="14"/>
      <c r="M79" s="16" t="str">
        <f aca="false">IF(A79="","",ROUND(N(L79)*I79,2))</f>
        <v/>
      </c>
      <c r="N79" s="17" t="str">
        <f aca="false">IF(A79="","",N(D79)+N(G79)-N(J79)-N(L79))</f>
        <v/>
      </c>
      <c r="O79" s="16" t="str">
        <f aca="false">IF(A79="","",ROUND(N(F79)+N(H79)-N(K79)-N(M79),2))</f>
        <v/>
      </c>
    </row>
    <row r="80" customFormat="false" ht="15" hidden="false" customHeight="false" outlineLevel="0" collapsed="false">
      <c r="A80" s="13"/>
      <c r="B80" s="14"/>
      <c r="C80" s="14"/>
      <c r="D80" s="14"/>
      <c r="E80" s="15"/>
      <c r="F80" s="16" t="str">
        <f aca="false">IF(D80="","",D80*E80)</f>
        <v/>
      </c>
      <c r="G80" s="14"/>
      <c r="H80" s="15"/>
      <c r="I80" s="16" t="str">
        <f aca="false">IF(A80="","",IFERROR((N(F80)+N(H80))/(N(D80)+N(G80)),0))</f>
        <v/>
      </c>
      <c r="J80" s="14"/>
      <c r="K80" s="16" t="str">
        <f aca="false">IF(A80="","",ROUND(N(J80)*I80,2))</f>
        <v/>
      </c>
      <c r="L80" s="14"/>
      <c r="M80" s="16" t="str">
        <f aca="false">IF(A80="","",ROUND(N(L80)*I80,2))</f>
        <v/>
      </c>
      <c r="N80" s="17" t="str">
        <f aca="false">IF(A80="","",N(D80)+N(G80)-N(J80)-N(L80))</f>
        <v/>
      </c>
      <c r="O80" s="16" t="str">
        <f aca="false">IF(A80="","",ROUND(N(F80)+N(H80)-N(K80)-N(M80),2))</f>
        <v/>
      </c>
    </row>
    <row r="81" customFormat="false" ht="15" hidden="false" customHeight="false" outlineLevel="0" collapsed="false">
      <c r="A81" s="13"/>
      <c r="B81" s="14"/>
      <c r="C81" s="14"/>
      <c r="D81" s="14"/>
      <c r="E81" s="15"/>
      <c r="F81" s="16" t="str">
        <f aca="false">IF(D81="","",D81*E81)</f>
        <v/>
      </c>
      <c r="G81" s="14"/>
      <c r="H81" s="15"/>
      <c r="I81" s="16" t="str">
        <f aca="false">IF(A81="","",IFERROR((N(F81)+N(H81))/(N(D81)+N(G81)),0))</f>
        <v/>
      </c>
      <c r="J81" s="14"/>
      <c r="K81" s="16" t="str">
        <f aca="false">IF(A81="","",ROUND(N(J81)*I81,2))</f>
        <v/>
      </c>
      <c r="L81" s="14"/>
      <c r="M81" s="16" t="str">
        <f aca="false">IF(A81="","",ROUND(N(L81)*I81,2))</f>
        <v/>
      </c>
      <c r="N81" s="17" t="str">
        <f aca="false">IF(A81="","",N(D81)+N(G81)-N(J81)-N(L81))</f>
        <v/>
      </c>
      <c r="O81" s="16" t="str">
        <f aca="false">IF(A81="","",ROUND(N(F81)+N(H81)-N(K81)-N(M81),2))</f>
        <v/>
      </c>
    </row>
    <row r="82" customFormat="false" ht="15" hidden="false" customHeight="false" outlineLevel="0" collapsed="false">
      <c r="A82" s="13"/>
      <c r="B82" s="14"/>
      <c r="C82" s="14"/>
      <c r="D82" s="14"/>
      <c r="E82" s="15"/>
      <c r="F82" s="16" t="str">
        <f aca="false">IF(D82="","",D82*E82)</f>
        <v/>
      </c>
      <c r="G82" s="14"/>
      <c r="H82" s="15"/>
      <c r="I82" s="16" t="str">
        <f aca="false">IF(A82="","",IFERROR((N(F82)+N(H82))/(N(D82)+N(G82)),0))</f>
        <v/>
      </c>
      <c r="J82" s="14"/>
      <c r="K82" s="16" t="str">
        <f aca="false">IF(A82="","",ROUND(N(J82)*I82,2))</f>
        <v/>
      </c>
      <c r="L82" s="14"/>
      <c r="M82" s="16" t="str">
        <f aca="false">IF(A82="","",ROUND(N(L82)*I82,2))</f>
        <v/>
      </c>
      <c r="N82" s="17" t="str">
        <f aca="false">IF(A82="","",N(D82)+N(G82)-N(J82)-N(L82))</f>
        <v/>
      </c>
      <c r="O82" s="16" t="str">
        <f aca="false">IF(A82="","",ROUND(N(F82)+N(H82)-N(K82)-N(M82),2))</f>
        <v/>
      </c>
    </row>
    <row r="83" customFormat="false" ht="15" hidden="false" customHeight="false" outlineLevel="0" collapsed="false">
      <c r="A83" s="13"/>
      <c r="B83" s="14"/>
      <c r="C83" s="14"/>
      <c r="D83" s="14"/>
      <c r="E83" s="15"/>
      <c r="F83" s="16" t="str">
        <f aca="false">IF(D83="","",D83*E83)</f>
        <v/>
      </c>
      <c r="G83" s="14"/>
      <c r="H83" s="15"/>
      <c r="I83" s="16" t="str">
        <f aca="false">IF(A83="","",IFERROR((N(F83)+N(H83))/(N(D83)+N(G83)),0))</f>
        <v/>
      </c>
      <c r="J83" s="14"/>
      <c r="K83" s="16" t="str">
        <f aca="false">IF(A83="","",ROUND(N(J83)*I83,2))</f>
        <v/>
      </c>
      <c r="L83" s="14"/>
      <c r="M83" s="16" t="str">
        <f aca="false">IF(A83="","",ROUND(N(L83)*I83,2))</f>
        <v/>
      </c>
      <c r="N83" s="17" t="str">
        <f aca="false">IF(A83="","",N(D83)+N(G83)-N(J83)-N(L83))</f>
        <v/>
      </c>
      <c r="O83" s="16" t="str">
        <f aca="false">IF(A83="","",ROUND(N(F83)+N(H83)-N(K83)-N(M83),2))</f>
        <v/>
      </c>
    </row>
    <row r="84" customFormat="false" ht="15" hidden="false" customHeight="false" outlineLevel="0" collapsed="false">
      <c r="A84" s="13"/>
      <c r="B84" s="14"/>
      <c r="C84" s="14"/>
      <c r="D84" s="14"/>
      <c r="E84" s="15"/>
      <c r="F84" s="16" t="str">
        <f aca="false">IF(D84="","",D84*E84)</f>
        <v/>
      </c>
      <c r="G84" s="14"/>
      <c r="H84" s="15"/>
      <c r="I84" s="16" t="str">
        <f aca="false">IF(A84="","",IFERROR((N(F84)+N(H84))/(N(D84)+N(G84)),0))</f>
        <v/>
      </c>
      <c r="J84" s="14"/>
      <c r="K84" s="16" t="str">
        <f aca="false">IF(A84="","",ROUND(N(J84)*I84,2))</f>
        <v/>
      </c>
      <c r="L84" s="14"/>
      <c r="M84" s="16" t="str">
        <f aca="false">IF(A84="","",ROUND(N(L84)*I84,2))</f>
        <v/>
      </c>
      <c r="N84" s="17" t="str">
        <f aca="false">IF(A84="","",N(D84)+N(G84)-N(J84)-N(L84))</f>
        <v/>
      </c>
      <c r="O84" s="16" t="str">
        <f aca="false">IF(A84="","",ROUND(N(F84)+N(H84)-N(K84)-N(M84),2))</f>
        <v/>
      </c>
    </row>
    <row r="85" customFormat="false" ht="15" hidden="false" customHeight="false" outlineLevel="0" collapsed="false">
      <c r="A85" s="13"/>
      <c r="B85" s="14"/>
      <c r="C85" s="14"/>
      <c r="D85" s="14"/>
      <c r="E85" s="15"/>
      <c r="F85" s="16" t="str">
        <f aca="false">IF(D85="","",D85*E85)</f>
        <v/>
      </c>
      <c r="G85" s="14"/>
      <c r="H85" s="15"/>
      <c r="I85" s="16" t="str">
        <f aca="false">IF(A85="","",IFERROR((N(F85)+N(H85))/(N(D85)+N(G85)),0))</f>
        <v/>
      </c>
      <c r="J85" s="14"/>
      <c r="K85" s="16" t="str">
        <f aca="false">IF(A85="","",ROUND(N(J85)*I85,2))</f>
        <v/>
      </c>
      <c r="L85" s="14"/>
      <c r="M85" s="16" t="str">
        <f aca="false">IF(A85="","",ROUND(N(L85)*I85,2))</f>
        <v/>
      </c>
      <c r="N85" s="17" t="str">
        <f aca="false">IF(A85="","",N(D85)+N(G85)-N(J85)-N(L85))</f>
        <v/>
      </c>
      <c r="O85" s="16" t="str">
        <f aca="false">IF(A85="","",ROUND(N(F85)+N(H85)-N(K85)-N(M85),2))</f>
        <v/>
      </c>
    </row>
    <row r="86" customFormat="false" ht="15" hidden="false" customHeight="false" outlineLevel="0" collapsed="false">
      <c r="A86" s="13"/>
      <c r="B86" s="14"/>
      <c r="C86" s="14"/>
      <c r="D86" s="14"/>
      <c r="E86" s="15"/>
      <c r="F86" s="16" t="str">
        <f aca="false">IF(D86="","",D86*E86)</f>
        <v/>
      </c>
      <c r="G86" s="14"/>
      <c r="H86" s="15"/>
      <c r="I86" s="16" t="str">
        <f aca="false">IF(A86="","",IFERROR((N(F86)+N(H86))/(N(D86)+N(G86)),0))</f>
        <v/>
      </c>
      <c r="J86" s="14"/>
      <c r="K86" s="16" t="str">
        <f aca="false">IF(A86="","",ROUND(N(J86)*I86,2))</f>
        <v/>
      </c>
      <c r="L86" s="14"/>
      <c r="M86" s="16" t="str">
        <f aca="false">IF(A86="","",ROUND(N(L86)*I86,2))</f>
        <v/>
      </c>
      <c r="N86" s="17" t="str">
        <f aca="false">IF(A86="","",N(D86)+N(G86)-N(J86)-N(L86))</f>
        <v/>
      </c>
      <c r="O86" s="16" t="str">
        <f aca="false">IF(A86="","",ROUND(N(F86)+N(H86)-N(K86)-N(M86),2))</f>
        <v/>
      </c>
    </row>
    <row r="87" customFormat="false" ht="15" hidden="false" customHeight="false" outlineLevel="0" collapsed="false">
      <c r="A87" s="13"/>
      <c r="B87" s="14"/>
      <c r="C87" s="14"/>
      <c r="D87" s="14"/>
      <c r="E87" s="15"/>
      <c r="F87" s="16" t="str">
        <f aca="false">IF(D87="","",D87*E87)</f>
        <v/>
      </c>
      <c r="G87" s="14"/>
      <c r="H87" s="15"/>
      <c r="I87" s="16" t="str">
        <f aca="false">IF(A87="","",IFERROR((N(F87)+N(H87))/(N(D87)+N(G87)),0))</f>
        <v/>
      </c>
      <c r="J87" s="14"/>
      <c r="K87" s="16" t="str">
        <f aca="false">IF(A87="","",ROUND(N(J87)*I87,2))</f>
        <v/>
      </c>
      <c r="L87" s="14"/>
      <c r="M87" s="16" t="str">
        <f aca="false">IF(A87="","",ROUND(N(L87)*I87,2))</f>
        <v/>
      </c>
      <c r="N87" s="17" t="str">
        <f aca="false">IF(A87="","",N(D87)+N(G87)-N(J87)-N(L87))</f>
        <v/>
      </c>
      <c r="O87" s="16" t="str">
        <f aca="false">IF(A87="","",ROUND(N(F87)+N(H87)-N(K87)-N(M87),2))</f>
        <v/>
      </c>
    </row>
    <row r="88" customFormat="false" ht="15" hidden="false" customHeight="false" outlineLevel="0" collapsed="false">
      <c r="A88" s="13"/>
      <c r="B88" s="14"/>
      <c r="C88" s="14"/>
      <c r="D88" s="14"/>
      <c r="E88" s="15"/>
      <c r="F88" s="16" t="str">
        <f aca="false">IF(D88="","",D88*E88)</f>
        <v/>
      </c>
      <c r="G88" s="14"/>
      <c r="H88" s="15"/>
      <c r="I88" s="16" t="str">
        <f aca="false">IF(A88="","",IFERROR((N(F88)+N(H88))/(N(D88)+N(G88)),0))</f>
        <v/>
      </c>
      <c r="J88" s="14"/>
      <c r="K88" s="16" t="str">
        <f aca="false">IF(A88="","",ROUND(N(J88)*I88,2))</f>
        <v/>
      </c>
      <c r="L88" s="14"/>
      <c r="M88" s="16" t="str">
        <f aca="false">IF(A88="","",ROUND(N(L88)*I88,2))</f>
        <v/>
      </c>
      <c r="N88" s="17" t="str">
        <f aca="false">IF(A88="","",N(D88)+N(G88)-N(J88)-N(L88))</f>
        <v/>
      </c>
      <c r="O88" s="16" t="str">
        <f aca="false">IF(A88="","",ROUND(N(F88)+N(H88)-N(K88)-N(M88),2))</f>
        <v/>
      </c>
    </row>
    <row r="89" customFormat="false" ht="15" hidden="false" customHeight="false" outlineLevel="0" collapsed="false">
      <c r="A89" s="13"/>
      <c r="B89" s="14"/>
      <c r="C89" s="14"/>
      <c r="D89" s="14"/>
      <c r="E89" s="15"/>
      <c r="F89" s="16" t="str">
        <f aca="false">IF(D89="","",D89*E89)</f>
        <v/>
      </c>
      <c r="G89" s="14"/>
      <c r="H89" s="15"/>
      <c r="I89" s="16" t="str">
        <f aca="false">IF(A89="","",IFERROR((N(F89)+N(H89))/(N(D89)+N(G89)),0))</f>
        <v/>
      </c>
      <c r="J89" s="14"/>
      <c r="K89" s="16" t="str">
        <f aca="false">IF(A89="","",ROUND(N(J89)*I89,2))</f>
        <v/>
      </c>
      <c r="L89" s="14"/>
      <c r="M89" s="16" t="str">
        <f aca="false">IF(A89="","",ROUND(N(L89)*I89,2))</f>
        <v/>
      </c>
      <c r="N89" s="17" t="str">
        <f aca="false">IF(A89="","",N(D89)+N(G89)-N(J89)-N(L89))</f>
        <v/>
      </c>
      <c r="O89" s="16" t="str">
        <f aca="false">IF(A89="","",ROUND(N(F89)+N(H89)-N(K89)-N(M89),2))</f>
        <v/>
      </c>
    </row>
    <row r="90" customFormat="false" ht="15" hidden="false" customHeight="false" outlineLevel="0" collapsed="false">
      <c r="A90" s="13"/>
      <c r="B90" s="14"/>
      <c r="C90" s="14"/>
      <c r="D90" s="14"/>
      <c r="E90" s="15"/>
      <c r="F90" s="16" t="str">
        <f aca="false">IF(D90="","",D90*E90)</f>
        <v/>
      </c>
      <c r="G90" s="14"/>
      <c r="H90" s="15"/>
      <c r="I90" s="16" t="str">
        <f aca="false">IF(A90="","",IFERROR((N(F90)+N(H90))/(N(D90)+N(G90)),0))</f>
        <v/>
      </c>
      <c r="J90" s="14"/>
      <c r="K90" s="16" t="str">
        <f aca="false">IF(A90="","",ROUND(N(J90)*I90,2))</f>
        <v/>
      </c>
      <c r="L90" s="14"/>
      <c r="M90" s="16" t="str">
        <f aca="false">IF(A90="","",ROUND(N(L90)*I90,2))</f>
        <v/>
      </c>
      <c r="N90" s="17" t="str">
        <f aca="false">IF(A90="","",N(D90)+N(G90)-N(J90)-N(L90))</f>
        <v/>
      </c>
      <c r="O90" s="16" t="str">
        <f aca="false">IF(A90="","",ROUND(N(F90)+N(H90)-N(K90)-N(M90),2))</f>
        <v/>
      </c>
    </row>
    <row r="91" customFormat="false" ht="15" hidden="false" customHeight="false" outlineLevel="0" collapsed="false">
      <c r="A91" s="13"/>
      <c r="B91" s="14"/>
      <c r="C91" s="14"/>
      <c r="D91" s="14"/>
      <c r="E91" s="15"/>
      <c r="F91" s="16" t="str">
        <f aca="false">IF(D91="","",D91*E91)</f>
        <v/>
      </c>
      <c r="G91" s="14"/>
      <c r="H91" s="15"/>
      <c r="I91" s="16" t="str">
        <f aca="false">IF(A91="","",IFERROR((N(F91)+N(H91))/(N(D91)+N(G91)),0))</f>
        <v/>
      </c>
      <c r="J91" s="14"/>
      <c r="K91" s="16" t="str">
        <f aca="false">IF(A91="","",ROUND(N(J91)*I91,2))</f>
        <v/>
      </c>
      <c r="L91" s="14"/>
      <c r="M91" s="16" t="str">
        <f aca="false">IF(A91="","",ROUND(N(L91)*I91,2))</f>
        <v/>
      </c>
      <c r="N91" s="17" t="str">
        <f aca="false">IF(A91="","",N(D91)+N(G91)-N(J91)-N(L91))</f>
        <v/>
      </c>
      <c r="O91" s="16" t="str">
        <f aca="false">IF(A91="","",ROUND(N(F91)+N(H91)-N(K91)-N(M91),2))</f>
        <v/>
      </c>
    </row>
    <row r="92" customFormat="false" ht="15" hidden="false" customHeight="false" outlineLevel="0" collapsed="false">
      <c r="A92" s="13"/>
      <c r="B92" s="14"/>
      <c r="C92" s="14"/>
      <c r="D92" s="14"/>
      <c r="E92" s="15"/>
      <c r="F92" s="16" t="str">
        <f aca="false">IF(D92="","",D92*E92)</f>
        <v/>
      </c>
      <c r="G92" s="14"/>
      <c r="H92" s="15"/>
      <c r="I92" s="16" t="str">
        <f aca="false">IF(A92="","",IFERROR((N(F92)+N(H92))/(N(D92)+N(G92)),0))</f>
        <v/>
      </c>
      <c r="J92" s="14"/>
      <c r="K92" s="16" t="str">
        <f aca="false">IF(A92="","",ROUND(N(J92)*I92,2))</f>
        <v/>
      </c>
      <c r="L92" s="14"/>
      <c r="M92" s="16" t="str">
        <f aca="false">IF(A92="","",ROUND(N(L92)*I92,2))</f>
        <v/>
      </c>
      <c r="N92" s="17" t="str">
        <f aca="false">IF(A92="","",N(D92)+N(G92)-N(J92)-N(L92))</f>
        <v/>
      </c>
      <c r="O92" s="16" t="str">
        <f aca="false">IF(A92="","",ROUND(N(F92)+N(H92)-N(K92)-N(M92),2))</f>
        <v/>
      </c>
    </row>
    <row r="93" customFormat="false" ht="15" hidden="false" customHeight="false" outlineLevel="0" collapsed="false">
      <c r="A93" s="13"/>
      <c r="B93" s="14"/>
      <c r="C93" s="14"/>
      <c r="D93" s="14"/>
      <c r="E93" s="15"/>
      <c r="F93" s="16" t="str">
        <f aca="false">IF(D93="","",D93*E93)</f>
        <v/>
      </c>
      <c r="G93" s="14"/>
      <c r="H93" s="15"/>
      <c r="I93" s="16" t="str">
        <f aca="false">IF(A93="","",IFERROR((N(F93)+N(H93))/(N(D93)+N(G93)),0))</f>
        <v/>
      </c>
      <c r="J93" s="14"/>
      <c r="K93" s="16" t="str">
        <f aca="false">IF(A93="","",ROUND(N(J93)*I93,2))</f>
        <v/>
      </c>
      <c r="L93" s="14"/>
      <c r="M93" s="16" t="str">
        <f aca="false">IF(A93="","",ROUND(N(L93)*I93,2))</f>
        <v/>
      </c>
      <c r="N93" s="17" t="str">
        <f aca="false">IF(A93="","",N(D93)+N(G93)-N(J93)-N(L93))</f>
        <v/>
      </c>
      <c r="O93" s="16" t="str">
        <f aca="false">IF(A93="","",ROUND(N(F93)+N(H93)-N(K93)-N(M93),2))</f>
        <v/>
      </c>
    </row>
    <row r="94" customFormat="false" ht="15" hidden="false" customHeight="false" outlineLevel="0" collapsed="false">
      <c r="A94" s="13"/>
      <c r="B94" s="14"/>
      <c r="C94" s="14"/>
      <c r="D94" s="14"/>
      <c r="E94" s="15"/>
      <c r="F94" s="16" t="str">
        <f aca="false">IF(D94="","",D94*E94)</f>
        <v/>
      </c>
      <c r="G94" s="14"/>
      <c r="H94" s="15"/>
      <c r="I94" s="16" t="str">
        <f aca="false">IF(A94="","",IFERROR((N(F94)+N(H94))/(N(D94)+N(G94)),0))</f>
        <v/>
      </c>
      <c r="J94" s="14"/>
      <c r="K94" s="16" t="str">
        <f aca="false">IF(A94="","",ROUND(N(J94)*I94,2))</f>
        <v/>
      </c>
      <c r="L94" s="14"/>
      <c r="M94" s="16" t="str">
        <f aca="false">IF(A94="","",ROUND(N(L94)*I94,2))</f>
        <v/>
      </c>
      <c r="N94" s="17" t="str">
        <f aca="false">IF(A94="","",N(D94)+N(G94)-N(J94)-N(L94))</f>
        <v/>
      </c>
      <c r="O94" s="16" t="str">
        <f aca="false">IF(A94="","",ROUND(N(F94)+N(H94)-N(K94)-N(M94),2))</f>
        <v/>
      </c>
    </row>
    <row r="95" customFormat="false" ht="15" hidden="false" customHeight="false" outlineLevel="0" collapsed="false">
      <c r="A95" s="13"/>
      <c r="B95" s="14"/>
      <c r="C95" s="14"/>
      <c r="D95" s="14"/>
      <c r="E95" s="15"/>
      <c r="F95" s="16" t="str">
        <f aca="false">IF(D95="","",D95*E95)</f>
        <v/>
      </c>
      <c r="G95" s="14"/>
      <c r="H95" s="15"/>
      <c r="I95" s="16" t="str">
        <f aca="false">IF(A95="","",IFERROR((N(F95)+N(H95))/(N(D95)+N(G95)),0))</f>
        <v/>
      </c>
      <c r="J95" s="14"/>
      <c r="K95" s="16" t="str">
        <f aca="false">IF(A95="","",ROUND(N(J95)*I95,2))</f>
        <v/>
      </c>
      <c r="L95" s="14"/>
      <c r="M95" s="16" t="str">
        <f aca="false">IF(A95="","",ROUND(N(L95)*I95,2))</f>
        <v/>
      </c>
      <c r="N95" s="17" t="str">
        <f aca="false">IF(A95="","",N(D95)+N(G95)-N(J95)-N(L95))</f>
        <v/>
      </c>
      <c r="O95" s="16" t="str">
        <f aca="false">IF(A95="","",ROUND(N(F95)+N(H95)-N(K95)-N(M95),2))</f>
        <v/>
      </c>
    </row>
    <row r="96" customFormat="false" ht="15" hidden="false" customHeight="false" outlineLevel="0" collapsed="false">
      <c r="A96" s="13"/>
      <c r="B96" s="14"/>
      <c r="C96" s="14"/>
      <c r="D96" s="14"/>
      <c r="E96" s="15"/>
      <c r="F96" s="16" t="str">
        <f aca="false">IF(D96="","",D96*E96)</f>
        <v/>
      </c>
      <c r="G96" s="14"/>
      <c r="H96" s="15"/>
      <c r="I96" s="16" t="str">
        <f aca="false">IF(A96="","",IFERROR((N(F96)+N(H96))/(N(D96)+N(G96)),0))</f>
        <v/>
      </c>
      <c r="J96" s="14"/>
      <c r="K96" s="16" t="str">
        <f aca="false">IF(A96="","",ROUND(N(J96)*I96,2))</f>
        <v/>
      </c>
      <c r="L96" s="14"/>
      <c r="M96" s="16" t="str">
        <f aca="false">IF(A96="","",ROUND(N(L96)*I96,2))</f>
        <v/>
      </c>
      <c r="N96" s="17" t="str">
        <f aca="false">IF(A96="","",N(D96)+N(G96)-N(J96)-N(L96))</f>
        <v/>
      </c>
      <c r="O96" s="16" t="str">
        <f aca="false">IF(A96="","",ROUND(N(F96)+N(H96)-N(K96)-N(M96),2))</f>
        <v/>
      </c>
    </row>
    <row r="97" customFormat="false" ht="15" hidden="false" customHeight="false" outlineLevel="0" collapsed="false">
      <c r="A97" s="13"/>
      <c r="B97" s="14"/>
      <c r="C97" s="14"/>
      <c r="D97" s="14"/>
      <c r="E97" s="15"/>
      <c r="F97" s="16" t="str">
        <f aca="false">IF(D97="","",D97*E97)</f>
        <v/>
      </c>
      <c r="G97" s="14"/>
      <c r="H97" s="15"/>
      <c r="I97" s="16" t="str">
        <f aca="false">IF(A97="","",IFERROR((N(F97)+N(H97))/(N(D97)+N(G97)),0))</f>
        <v/>
      </c>
      <c r="J97" s="14"/>
      <c r="K97" s="16" t="str">
        <f aca="false">IF(A97="","",ROUND(N(J97)*I97,2))</f>
        <v/>
      </c>
      <c r="L97" s="14"/>
      <c r="M97" s="16" t="str">
        <f aca="false">IF(A97="","",ROUND(N(L97)*I97,2))</f>
        <v/>
      </c>
      <c r="N97" s="17" t="str">
        <f aca="false">IF(A97="","",N(D97)+N(G97)-N(J97)-N(L97))</f>
        <v/>
      </c>
      <c r="O97" s="16" t="str">
        <f aca="false">IF(A97="","",ROUND(N(F97)+N(H97)-N(K97)-N(M97),2))</f>
        <v/>
      </c>
    </row>
    <row r="98" customFormat="false" ht="15" hidden="false" customHeight="false" outlineLevel="0" collapsed="false">
      <c r="A98" s="13"/>
      <c r="B98" s="14"/>
      <c r="C98" s="14"/>
      <c r="D98" s="14"/>
      <c r="E98" s="15"/>
      <c r="F98" s="16" t="str">
        <f aca="false">IF(D98="","",D98*E98)</f>
        <v/>
      </c>
      <c r="G98" s="14"/>
      <c r="H98" s="15"/>
      <c r="I98" s="16" t="str">
        <f aca="false">IF(A98="","",IFERROR((N(F98)+N(H98))/(N(D98)+N(G98)),0))</f>
        <v/>
      </c>
      <c r="J98" s="14"/>
      <c r="K98" s="16" t="str">
        <f aca="false">IF(A98="","",ROUND(N(J98)*I98,2))</f>
        <v/>
      </c>
      <c r="L98" s="14"/>
      <c r="M98" s="16" t="str">
        <f aca="false">IF(A98="","",ROUND(N(L98)*I98,2))</f>
        <v/>
      </c>
      <c r="N98" s="17" t="str">
        <f aca="false">IF(A98="","",N(D98)+N(G98)-N(J98)-N(L98))</f>
        <v/>
      </c>
      <c r="O98" s="16" t="str">
        <f aca="false">IF(A98="","",ROUND(N(F98)+N(H98)-N(K98)-N(M98),2))</f>
        <v/>
      </c>
    </row>
    <row r="99" customFormat="false" ht="15" hidden="false" customHeight="false" outlineLevel="0" collapsed="false">
      <c r="A99" s="13"/>
      <c r="B99" s="14"/>
      <c r="C99" s="14"/>
      <c r="D99" s="14"/>
      <c r="E99" s="15"/>
      <c r="F99" s="16" t="str">
        <f aca="false">IF(D99="","",D99*E99)</f>
        <v/>
      </c>
      <c r="G99" s="14"/>
      <c r="H99" s="15"/>
      <c r="I99" s="16" t="str">
        <f aca="false">IF(A99="","",IFERROR((N(F99)+N(H99))/(N(D99)+N(G99)),0))</f>
        <v/>
      </c>
      <c r="J99" s="14"/>
      <c r="K99" s="16" t="str">
        <f aca="false">IF(A99="","",ROUND(N(J99)*I99,2))</f>
        <v/>
      </c>
      <c r="L99" s="14"/>
      <c r="M99" s="16" t="str">
        <f aca="false">IF(A99="","",ROUND(N(L99)*I99,2))</f>
        <v/>
      </c>
      <c r="N99" s="17" t="str">
        <f aca="false">IF(A99="","",N(D99)+N(G99)-N(J99)-N(L99))</f>
        <v/>
      </c>
      <c r="O99" s="16" t="str">
        <f aca="false">IF(A99="","",ROUND(N(F99)+N(H99)-N(K99)-N(M99),2))</f>
        <v/>
      </c>
    </row>
    <row r="100" customFormat="false" ht="15" hidden="false" customHeight="false" outlineLevel="0" collapsed="false">
      <c r="A100" s="13"/>
      <c r="B100" s="14"/>
      <c r="C100" s="14"/>
      <c r="D100" s="14"/>
      <c r="E100" s="15"/>
      <c r="F100" s="16" t="str">
        <f aca="false">IF(D100="","",D100*E100)</f>
        <v/>
      </c>
      <c r="G100" s="14"/>
      <c r="H100" s="15"/>
      <c r="I100" s="16" t="str">
        <f aca="false">IF(A100="","",IFERROR((N(F100)+N(H100))/(N(D100)+N(G100)),0))</f>
        <v/>
      </c>
      <c r="J100" s="14"/>
      <c r="K100" s="16" t="str">
        <f aca="false">IF(A100="","",ROUND(N(J100)*I100,2))</f>
        <v/>
      </c>
      <c r="L100" s="14"/>
      <c r="M100" s="16" t="str">
        <f aca="false">IF(A100="","",ROUND(N(L100)*I100,2))</f>
        <v/>
      </c>
      <c r="N100" s="17" t="str">
        <f aca="false">IF(A100="","",N(D100)+N(G100)-N(J100)-N(L100))</f>
        <v/>
      </c>
      <c r="O100" s="16" t="str">
        <f aca="false">IF(A100="","",ROUND(N(F100)+N(H100)-N(K100)-N(M100),2))</f>
        <v/>
      </c>
    </row>
    <row r="101" customFormat="false" ht="15" hidden="false" customHeight="false" outlineLevel="0" collapsed="false">
      <c r="A101" s="13"/>
      <c r="B101" s="14"/>
      <c r="C101" s="14"/>
      <c r="D101" s="14"/>
      <c r="E101" s="15"/>
      <c r="F101" s="16" t="str">
        <f aca="false">IF(D101="","",D101*E101)</f>
        <v/>
      </c>
      <c r="G101" s="14"/>
      <c r="H101" s="15"/>
      <c r="I101" s="16" t="str">
        <f aca="false">IF(A101="","",IFERROR((N(F101)+N(H101))/(N(D101)+N(G101)),0))</f>
        <v/>
      </c>
      <c r="J101" s="14"/>
      <c r="K101" s="16" t="str">
        <f aca="false">IF(A101="","",ROUND(N(J101)*I101,2))</f>
        <v/>
      </c>
      <c r="L101" s="14"/>
      <c r="M101" s="16" t="str">
        <f aca="false">IF(A101="","",ROUND(N(L101)*I101,2))</f>
        <v/>
      </c>
      <c r="N101" s="17" t="str">
        <f aca="false">IF(A101="","",N(D101)+N(G101)-N(J101)-N(L101))</f>
        <v/>
      </c>
      <c r="O101" s="16" t="str">
        <f aca="false">IF(A101="","",ROUND(N(F101)+N(H101)-N(K101)-N(M101),2))</f>
        <v/>
      </c>
    </row>
    <row r="102" customFormat="false" ht="15" hidden="false" customHeight="false" outlineLevel="0" collapsed="false">
      <c r="A102" s="13"/>
      <c r="B102" s="14"/>
      <c r="C102" s="14"/>
      <c r="D102" s="14"/>
      <c r="E102" s="15"/>
      <c r="F102" s="16" t="str">
        <f aca="false">IF(D102="","",D102*E102)</f>
        <v/>
      </c>
      <c r="G102" s="14"/>
      <c r="H102" s="15"/>
      <c r="I102" s="16" t="str">
        <f aca="false">IF(A102="","",IFERROR((N(F102)+N(H102))/(N(D102)+N(G102)),0))</f>
        <v/>
      </c>
      <c r="J102" s="14"/>
      <c r="K102" s="16" t="str">
        <f aca="false">IF(A102="","",ROUND(N(J102)*I102,2))</f>
        <v/>
      </c>
      <c r="L102" s="14"/>
      <c r="M102" s="16" t="str">
        <f aca="false">IF(A102="","",ROUND(N(L102)*I102,2))</f>
        <v/>
      </c>
      <c r="N102" s="17" t="str">
        <f aca="false">IF(A102="","",N(D102)+N(G102)-N(J102)-N(L102))</f>
        <v/>
      </c>
      <c r="O102" s="16" t="str">
        <f aca="false">IF(A102="","",ROUND(N(F102)+N(H102)-N(K102)-N(M102),2))</f>
        <v/>
      </c>
    </row>
    <row r="103" customFormat="false" ht="15" hidden="false" customHeight="false" outlineLevel="0" collapsed="false">
      <c r="A103" s="13"/>
      <c r="B103" s="14"/>
      <c r="C103" s="14"/>
      <c r="D103" s="14"/>
      <c r="E103" s="15"/>
      <c r="F103" s="16" t="str">
        <f aca="false">IF(D103="","",D103*E103)</f>
        <v/>
      </c>
      <c r="G103" s="14"/>
      <c r="H103" s="15"/>
      <c r="I103" s="16" t="str">
        <f aca="false">IF(A103="","",IFERROR((N(F103)+N(H103))/(N(D103)+N(G103)),0))</f>
        <v/>
      </c>
      <c r="J103" s="14"/>
      <c r="K103" s="16" t="str">
        <f aca="false">IF(A103="","",ROUND(N(J103)*I103,2))</f>
        <v/>
      </c>
      <c r="L103" s="14"/>
      <c r="M103" s="16" t="str">
        <f aca="false">IF(A103="","",ROUND(N(L103)*I103,2))</f>
        <v/>
      </c>
      <c r="N103" s="17" t="str">
        <f aca="false">IF(A103="","",N(D103)+N(G103)-N(J103)-N(L103))</f>
        <v/>
      </c>
      <c r="O103" s="16" t="str">
        <f aca="false">IF(A103="","",ROUND(N(F103)+N(H103)-N(K103)-N(M103),2))</f>
        <v/>
      </c>
    </row>
    <row r="104" customFormat="false" ht="15" hidden="false" customHeight="false" outlineLevel="0" collapsed="false">
      <c r="A104" s="13"/>
      <c r="B104" s="14"/>
      <c r="C104" s="14"/>
      <c r="D104" s="14"/>
      <c r="E104" s="15"/>
      <c r="F104" s="16" t="str">
        <f aca="false">IF(D104="","",D104*E104)</f>
        <v/>
      </c>
      <c r="G104" s="14"/>
      <c r="H104" s="15"/>
      <c r="I104" s="16" t="str">
        <f aca="false">IF(A104="","",IFERROR((N(F104)+N(H104))/(N(D104)+N(G104)),0))</f>
        <v/>
      </c>
      <c r="J104" s="14"/>
      <c r="K104" s="16" t="str">
        <f aca="false">IF(A104="","",ROUND(N(J104)*I104,2))</f>
        <v/>
      </c>
      <c r="L104" s="14"/>
      <c r="M104" s="16" t="str">
        <f aca="false">IF(A104="","",ROUND(N(L104)*I104,2))</f>
        <v/>
      </c>
      <c r="N104" s="17" t="str">
        <f aca="false">IF(A104="","",N(D104)+N(G104)-N(J104)-N(L104))</f>
        <v/>
      </c>
      <c r="O104" s="16" t="str">
        <f aca="false">IF(A104="","",ROUND(N(F104)+N(H104)-N(K104)-N(M104),2))</f>
        <v/>
      </c>
    </row>
    <row r="105" customFormat="false" ht="15" hidden="false" customHeight="false" outlineLevel="0" collapsed="false">
      <c r="A105" s="13"/>
      <c r="B105" s="14"/>
      <c r="C105" s="14"/>
      <c r="D105" s="14"/>
      <c r="E105" s="15"/>
      <c r="F105" s="16" t="str">
        <f aca="false">IF(D105="","",D105*E105)</f>
        <v/>
      </c>
      <c r="G105" s="14"/>
      <c r="H105" s="15"/>
      <c r="I105" s="16" t="str">
        <f aca="false">IF(A105="","",IFERROR((N(F105)+N(H105))/(N(D105)+N(G105)),0))</f>
        <v/>
      </c>
      <c r="J105" s="14"/>
      <c r="K105" s="16" t="str">
        <f aca="false">IF(A105="","",ROUND(N(J105)*I105,2))</f>
        <v/>
      </c>
      <c r="L105" s="14"/>
      <c r="M105" s="16" t="str">
        <f aca="false">IF(A105="","",ROUND(N(L105)*I105,2))</f>
        <v/>
      </c>
      <c r="N105" s="17" t="str">
        <f aca="false">IF(A105="","",N(D105)+N(G105)-N(J105)-N(L105))</f>
        <v/>
      </c>
      <c r="O105" s="16" t="str">
        <f aca="false">IF(A105="","",ROUND(N(F105)+N(H105)-N(K105)-N(M105),2))</f>
        <v/>
      </c>
    </row>
    <row r="106" customFormat="false" ht="15" hidden="false" customHeight="false" outlineLevel="0" collapsed="false">
      <c r="A106" s="13"/>
      <c r="B106" s="14"/>
      <c r="C106" s="14"/>
      <c r="D106" s="14"/>
      <c r="E106" s="15"/>
      <c r="F106" s="16" t="str">
        <f aca="false">IF(D106="","",D106*E106)</f>
        <v/>
      </c>
      <c r="G106" s="14"/>
      <c r="H106" s="15"/>
      <c r="I106" s="16" t="str">
        <f aca="false">IF(A106="","",IFERROR((N(F106)+N(H106))/(N(D106)+N(G106)),0))</f>
        <v/>
      </c>
      <c r="J106" s="14"/>
      <c r="K106" s="16" t="str">
        <f aca="false">IF(A106="","",ROUND(N(J106)*I106,2))</f>
        <v/>
      </c>
      <c r="L106" s="14"/>
      <c r="M106" s="16" t="str">
        <f aca="false">IF(A106="","",ROUND(N(L106)*I106,2))</f>
        <v/>
      </c>
      <c r="N106" s="17" t="str">
        <f aca="false">IF(A106="","",N(D106)+N(G106)-N(J106)-N(L106))</f>
        <v/>
      </c>
      <c r="O106" s="16" t="str">
        <f aca="false">IF(A106="","",ROUND(N(F106)+N(H106)-N(K106)-N(M106),2))</f>
        <v/>
      </c>
    </row>
    <row r="107" customFormat="false" ht="15" hidden="false" customHeight="false" outlineLevel="0" collapsed="false">
      <c r="A107" s="13"/>
      <c r="B107" s="14"/>
      <c r="C107" s="14"/>
      <c r="D107" s="14"/>
      <c r="E107" s="15"/>
      <c r="F107" s="16" t="str">
        <f aca="false">IF(D107="","",D107*E107)</f>
        <v/>
      </c>
      <c r="G107" s="14"/>
      <c r="H107" s="15"/>
      <c r="I107" s="16" t="str">
        <f aca="false">IF(A107="","",IFERROR((N(F107)+N(H107))/(N(D107)+N(G107)),0))</f>
        <v/>
      </c>
      <c r="J107" s="14"/>
      <c r="K107" s="16" t="str">
        <f aca="false">IF(A107="","",ROUND(N(J107)*I107,2))</f>
        <v/>
      </c>
      <c r="L107" s="14"/>
      <c r="M107" s="16" t="str">
        <f aca="false">IF(A107="","",ROUND(N(L107)*I107,2))</f>
        <v/>
      </c>
      <c r="N107" s="17" t="str">
        <f aca="false">IF(A107="","",N(D107)+N(G107)-N(J107)-N(L107))</f>
        <v/>
      </c>
      <c r="O107" s="16" t="str">
        <f aca="false">IF(A107="","",ROUND(N(F107)+N(H107)-N(K107)-N(M107),2))</f>
        <v/>
      </c>
    </row>
    <row r="108" customFormat="false" ht="15" hidden="false" customHeight="false" outlineLevel="0" collapsed="false">
      <c r="A108" s="13"/>
      <c r="B108" s="14"/>
      <c r="C108" s="14"/>
      <c r="D108" s="14"/>
      <c r="E108" s="15"/>
      <c r="F108" s="16" t="str">
        <f aca="false">IF(D108="","",D108*E108)</f>
        <v/>
      </c>
      <c r="G108" s="14"/>
      <c r="H108" s="15"/>
      <c r="I108" s="16" t="str">
        <f aca="false">IF(A108="","",IFERROR((N(F108)+N(H108))/(N(D108)+N(G108)),0))</f>
        <v/>
      </c>
      <c r="J108" s="14"/>
      <c r="K108" s="16" t="str">
        <f aca="false">IF(A108="","",ROUND(N(J108)*I108,2))</f>
        <v/>
      </c>
      <c r="L108" s="14"/>
      <c r="M108" s="16" t="str">
        <f aca="false">IF(A108="","",ROUND(N(L108)*I108,2))</f>
        <v/>
      </c>
      <c r="N108" s="17" t="str">
        <f aca="false">IF(A108="","",N(D108)+N(G108)-N(J108)-N(L108))</f>
        <v/>
      </c>
      <c r="O108" s="16" t="str">
        <f aca="false">IF(A108="","",ROUND(N(F108)+N(H108)-N(K108)-N(M108),2))</f>
        <v/>
      </c>
    </row>
    <row r="109" customFormat="false" ht="15" hidden="false" customHeight="false" outlineLevel="0" collapsed="false">
      <c r="A109" s="13"/>
      <c r="B109" s="14"/>
      <c r="C109" s="14"/>
      <c r="D109" s="14"/>
      <c r="E109" s="15"/>
      <c r="F109" s="16" t="str">
        <f aca="false">IF(D109="","",D109*E109)</f>
        <v/>
      </c>
      <c r="G109" s="14"/>
      <c r="H109" s="15"/>
      <c r="I109" s="16" t="str">
        <f aca="false">IF(A109="","",IFERROR((N(F109)+N(H109))/(N(D109)+N(G109)),0))</f>
        <v/>
      </c>
      <c r="J109" s="14"/>
      <c r="K109" s="16" t="str">
        <f aca="false">IF(A109="","",ROUND(N(J109)*I109,2))</f>
        <v/>
      </c>
      <c r="L109" s="14"/>
      <c r="M109" s="16" t="str">
        <f aca="false">IF(A109="","",ROUND(N(L109)*I109,2))</f>
        <v/>
      </c>
      <c r="N109" s="17" t="str">
        <f aca="false">IF(A109="","",N(D109)+N(G109)-N(J109)-N(L109))</f>
        <v/>
      </c>
      <c r="O109" s="16" t="str">
        <f aca="false">IF(A109="","",ROUND(N(F109)+N(H109)-N(K109)-N(M109),2))</f>
        <v/>
      </c>
    </row>
    <row r="110" customFormat="false" ht="15" hidden="false" customHeight="false" outlineLevel="0" collapsed="false">
      <c r="A110" s="13"/>
      <c r="B110" s="14"/>
      <c r="C110" s="14"/>
      <c r="D110" s="14"/>
      <c r="E110" s="15"/>
      <c r="F110" s="16" t="str">
        <f aca="false">IF(D110="","",D110*E110)</f>
        <v/>
      </c>
      <c r="G110" s="14"/>
      <c r="H110" s="15"/>
      <c r="I110" s="16" t="str">
        <f aca="false">IF(A110="","",IFERROR((N(F110)+N(H110))/(N(D110)+N(G110)),0))</f>
        <v/>
      </c>
      <c r="J110" s="14"/>
      <c r="K110" s="16" t="str">
        <f aca="false">IF(A110="","",ROUND(N(J110)*I110,2))</f>
        <v/>
      </c>
      <c r="L110" s="14"/>
      <c r="M110" s="16" t="str">
        <f aca="false">IF(A110="","",ROUND(N(L110)*I110,2))</f>
        <v/>
      </c>
      <c r="N110" s="17" t="str">
        <f aca="false">IF(A110="","",N(D110)+N(G110)-N(J110)-N(L110))</f>
        <v/>
      </c>
      <c r="O110" s="16" t="str">
        <f aca="false">IF(A110="","",ROUND(N(F110)+N(H110)-N(K110)-N(M110),2))</f>
        <v/>
      </c>
    </row>
    <row r="111" customFormat="false" ht="15" hidden="false" customHeight="false" outlineLevel="0" collapsed="false">
      <c r="A111" s="13"/>
      <c r="B111" s="14"/>
      <c r="C111" s="14"/>
      <c r="D111" s="14"/>
      <c r="E111" s="15"/>
      <c r="F111" s="16" t="str">
        <f aca="false">IF(D111="","",D111*E111)</f>
        <v/>
      </c>
      <c r="G111" s="14"/>
      <c r="H111" s="15"/>
      <c r="I111" s="16" t="str">
        <f aca="false">IF(A111="","",IFERROR((N(F111)+N(H111))/(N(D111)+N(G111)),0))</f>
        <v/>
      </c>
      <c r="J111" s="14"/>
      <c r="K111" s="16" t="str">
        <f aca="false">IF(A111="","",ROUND(N(J111)*I111,2))</f>
        <v/>
      </c>
      <c r="L111" s="14"/>
      <c r="M111" s="16" t="str">
        <f aca="false">IF(A111="","",ROUND(N(L111)*I111,2))</f>
        <v/>
      </c>
      <c r="N111" s="17" t="str">
        <f aca="false">IF(A111="","",N(D111)+N(G111)-N(J111)-N(L111))</f>
        <v/>
      </c>
      <c r="O111" s="16" t="str">
        <f aca="false">IF(A111="","",ROUND(N(F111)+N(H111)-N(K111)-N(M111),2))</f>
        <v/>
      </c>
    </row>
    <row r="112" customFormat="false" ht="15" hidden="false" customHeight="false" outlineLevel="0" collapsed="false">
      <c r="A112" s="13"/>
      <c r="B112" s="14"/>
      <c r="C112" s="14"/>
      <c r="D112" s="14"/>
      <c r="E112" s="15"/>
      <c r="F112" s="16" t="str">
        <f aca="false">IF(D112="","",D112*E112)</f>
        <v/>
      </c>
      <c r="G112" s="14"/>
      <c r="H112" s="15"/>
      <c r="I112" s="16" t="str">
        <f aca="false">IF(A112="","",IFERROR((N(F112)+N(H112))/(N(D112)+N(G112)),0))</f>
        <v/>
      </c>
      <c r="J112" s="14"/>
      <c r="K112" s="16" t="str">
        <f aca="false">IF(A112="","",ROUND(N(J112)*I112,2))</f>
        <v/>
      </c>
      <c r="L112" s="14"/>
      <c r="M112" s="16" t="str">
        <f aca="false">IF(A112="","",ROUND(N(L112)*I112,2))</f>
        <v/>
      </c>
      <c r="N112" s="17" t="str">
        <f aca="false">IF(A112="","",N(D112)+N(G112)-N(J112)-N(L112))</f>
        <v/>
      </c>
      <c r="O112" s="16" t="str">
        <f aca="false">IF(A112="","",ROUND(N(F112)+N(H112)-N(K112)-N(M112),2))</f>
        <v/>
      </c>
    </row>
    <row r="113" customFormat="false" ht="15" hidden="false" customHeight="false" outlineLevel="0" collapsed="false">
      <c r="A113" s="13"/>
      <c r="B113" s="14"/>
      <c r="C113" s="14"/>
      <c r="D113" s="14"/>
      <c r="E113" s="15"/>
      <c r="F113" s="16" t="str">
        <f aca="false">IF(D113="","",D113*E113)</f>
        <v/>
      </c>
      <c r="G113" s="14"/>
      <c r="H113" s="15"/>
      <c r="I113" s="16" t="str">
        <f aca="false">IF(A113="","",IFERROR((N(F113)+N(H113))/(N(D113)+N(G113)),0))</f>
        <v/>
      </c>
      <c r="J113" s="14"/>
      <c r="K113" s="16" t="str">
        <f aca="false">IF(A113="","",ROUND(N(J113)*I113,2))</f>
        <v/>
      </c>
      <c r="L113" s="14"/>
      <c r="M113" s="16" t="str">
        <f aca="false">IF(A113="","",ROUND(N(L113)*I113,2))</f>
        <v/>
      </c>
      <c r="N113" s="17" t="str">
        <f aca="false">IF(A113="","",N(D113)+N(G113)-N(J113)-N(L113))</f>
        <v/>
      </c>
      <c r="O113" s="16" t="str">
        <f aca="false">IF(A113="","",ROUND(N(F113)+N(H113)-N(K113)-N(M113),2))</f>
        <v/>
      </c>
    </row>
    <row r="114" customFormat="false" ht="15" hidden="false" customHeight="false" outlineLevel="0" collapsed="false">
      <c r="A114" s="13"/>
      <c r="B114" s="14"/>
      <c r="C114" s="14"/>
      <c r="D114" s="14"/>
      <c r="E114" s="15"/>
      <c r="F114" s="16" t="str">
        <f aca="false">IF(D114="","",D114*E114)</f>
        <v/>
      </c>
      <c r="G114" s="14"/>
      <c r="H114" s="15"/>
      <c r="I114" s="16" t="str">
        <f aca="false">IF(A114="","",IFERROR((N(F114)+N(H114))/(N(D114)+N(G114)),0))</f>
        <v/>
      </c>
      <c r="J114" s="14"/>
      <c r="K114" s="16" t="str">
        <f aca="false">IF(A114="","",ROUND(N(J114)*I114,2))</f>
        <v/>
      </c>
      <c r="L114" s="14"/>
      <c r="M114" s="16" t="str">
        <f aca="false">IF(A114="","",ROUND(N(L114)*I114,2))</f>
        <v/>
      </c>
      <c r="N114" s="17" t="str">
        <f aca="false">IF(A114="","",N(D114)+N(G114)-N(J114)-N(L114))</f>
        <v/>
      </c>
      <c r="O114" s="16" t="str">
        <f aca="false">IF(A114="","",ROUND(N(F114)+N(H114)-N(K114)-N(M114),2))</f>
        <v/>
      </c>
    </row>
    <row r="115" customFormat="false" ht="15" hidden="false" customHeight="false" outlineLevel="0" collapsed="false">
      <c r="A115" s="13"/>
      <c r="B115" s="14"/>
      <c r="C115" s="14"/>
      <c r="D115" s="14"/>
      <c r="E115" s="15"/>
      <c r="F115" s="16" t="str">
        <f aca="false">IF(D115="","",D115*E115)</f>
        <v/>
      </c>
      <c r="G115" s="14"/>
      <c r="H115" s="15"/>
      <c r="I115" s="16" t="str">
        <f aca="false">IF(A115="","",IFERROR((N(F115)+N(H115))/(N(D115)+N(G115)),0))</f>
        <v/>
      </c>
      <c r="J115" s="14"/>
      <c r="K115" s="16" t="str">
        <f aca="false">IF(A115="","",ROUND(N(J115)*I115,2))</f>
        <v/>
      </c>
      <c r="L115" s="14"/>
      <c r="M115" s="16" t="str">
        <f aca="false">IF(A115="","",ROUND(N(L115)*I115,2))</f>
        <v/>
      </c>
      <c r="N115" s="17" t="str">
        <f aca="false">IF(A115="","",N(D115)+N(G115)-N(J115)-N(L115))</f>
        <v/>
      </c>
      <c r="O115" s="16" t="str">
        <f aca="false">IF(A115="","",ROUND(N(F115)+N(H115)-N(K115)-N(M115),2))</f>
        <v/>
      </c>
    </row>
    <row r="116" customFormat="false" ht="15" hidden="false" customHeight="false" outlineLevel="0" collapsed="false">
      <c r="A116" s="13"/>
      <c r="B116" s="14"/>
      <c r="C116" s="14"/>
      <c r="D116" s="14"/>
      <c r="E116" s="15"/>
      <c r="F116" s="16" t="str">
        <f aca="false">IF(D116="","",D116*E116)</f>
        <v/>
      </c>
      <c r="G116" s="14"/>
      <c r="H116" s="15"/>
      <c r="I116" s="16" t="str">
        <f aca="false">IF(A116="","",IFERROR((N(F116)+N(H116))/(N(D116)+N(G116)),0))</f>
        <v/>
      </c>
      <c r="J116" s="14"/>
      <c r="K116" s="16" t="str">
        <f aca="false">IF(A116="","",ROUND(N(J116)*I116,2))</f>
        <v/>
      </c>
      <c r="L116" s="14"/>
      <c r="M116" s="16" t="str">
        <f aca="false">IF(A116="","",ROUND(N(L116)*I116,2))</f>
        <v/>
      </c>
      <c r="N116" s="17" t="str">
        <f aca="false">IF(A116="","",N(D116)+N(G116)-N(J116)-N(L116))</f>
        <v/>
      </c>
      <c r="O116" s="16" t="str">
        <f aca="false">IF(A116="","",ROUND(N(F116)+N(H116)-N(K116)-N(M116),2))</f>
        <v/>
      </c>
    </row>
    <row r="117" customFormat="false" ht="15" hidden="false" customHeight="false" outlineLevel="0" collapsed="false">
      <c r="A117" s="13"/>
      <c r="B117" s="14"/>
      <c r="C117" s="14"/>
      <c r="D117" s="14"/>
      <c r="E117" s="15"/>
      <c r="F117" s="16" t="str">
        <f aca="false">IF(D117="","",D117*E117)</f>
        <v/>
      </c>
      <c r="G117" s="14"/>
      <c r="H117" s="15"/>
      <c r="I117" s="16" t="str">
        <f aca="false">IF(A117="","",IFERROR((N(F117)+N(H117))/(N(D117)+N(G117)),0))</f>
        <v/>
      </c>
      <c r="J117" s="14"/>
      <c r="K117" s="16" t="str">
        <f aca="false">IF(A117="","",ROUND(N(J117)*I117,2))</f>
        <v/>
      </c>
      <c r="L117" s="14"/>
      <c r="M117" s="16" t="str">
        <f aca="false">IF(A117="","",ROUND(N(L117)*I117,2))</f>
        <v/>
      </c>
      <c r="N117" s="17" t="str">
        <f aca="false">IF(A117="","",N(D117)+N(G117)-N(J117)-N(L117))</f>
        <v/>
      </c>
      <c r="O117" s="16" t="str">
        <f aca="false">IF(A117="","",ROUND(N(F117)+N(H117)-N(K117)-N(M117),2))</f>
        <v/>
      </c>
    </row>
    <row r="118" customFormat="false" ht="15" hidden="false" customHeight="false" outlineLevel="0" collapsed="false">
      <c r="A118" s="13"/>
      <c r="B118" s="14"/>
      <c r="C118" s="14"/>
      <c r="D118" s="14"/>
      <c r="E118" s="15"/>
      <c r="F118" s="16" t="str">
        <f aca="false">IF(D118="","",D118*E118)</f>
        <v/>
      </c>
      <c r="G118" s="14"/>
      <c r="H118" s="15"/>
      <c r="I118" s="16" t="str">
        <f aca="false">IF(A118="","",IFERROR((N(F118)+N(H118))/(N(D118)+N(G118)),0))</f>
        <v/>
      </c>
      <c r="J118" s="14"/>
      <c r="K118" s="16" t="str">
        <f aca="false">IF(A118="","",ROUND(N(J118)*I118,2))</f>
        <v/>
      </c>
      <c r="L118" s="14"/>
      <c r="M118" s="16" t="str">
        <f aca="false">IF(A118="","",ROUND(N(L118)*I118,2))</f>
        <v/>
      </c>
      <c r="N118" s="17" t="str">
        <f aca="false">IF(A118="","",N(D118)+N(G118)-N(J118)-N(L118))</f>
        <v/>
      </c>
      <c r="O118" s="16" t="str">
        <f aca="false">IF(A118="","",ROUND(N(F118)+N(H118)-N(K118)-N(M118),2))</f>
        <v/>
      </c>
    </row>
    <row r="119" customFormat="false" ht="15" hidden="false" customHeight="false" outlineLevel="0" collapsed="false">
      <c r="A119" s="13"/>
      <c r="B119" s="14"/>
      <c r="C119" s="14"/>
      <c r="D119" s="14"/>
      <c r="E119" s="15"/>
      <c r="F119" s="16" t="str">
        <f aca="false">IF(D119="","",D119*E119)</f>
        <v/>
      </c>
      <c r="G119" s="14"/>
      <c r="H119" s="15"/>
      <c r="I119" s="16" t="str">
        <f aca="false">IF(A119="","",IFERROR((N(F119)+N(H119))/(N(D119)+N(G119)),0))</f>
        <v/>
      </c>
      <c r="J119" s="14"/>
      <c r="K119" s="16" t="str">
        <f aca="false">IF(A119="","",ROUND(N(J119)*I119,2))</f>
        <v/>
      </c>
      <c r="L119" s="14"/>
      <c r="M119" s="16" t="str">
        <f aca="false">IF(A119="","",ROUND(N(L119)*I119,2))</f>
        <v/>
      </c>
      <c r="N119" s="17" t="str">
        <f aca="false">IF(A119="","",N(D119)+N(G119)-N(J119)-N(L119))</f>
        <v/>
      </c>
      <c r="O119" s="16" t="str">
        <f aca="false">IF(A119="","",ROUND(N(F119)+N(H119)-N(K119)-N(M119),2))</f>
        <v/>
      </c>
    </row>
    <row r="120" customFormat="false" ht="15" hidden="false" customHeight="false" outlineLevel="0" collapsed="false">
      <c r="A120" s="13"/>
      <c r="B120" s="14"/>
      <c r="C120" s="14"/>
      <c r="D120" s="14"/>
      <c r="E120" s="15"/>
      <c r="F120" s="16" t="str">
        <f aca="false">IF(D120="","",D120*E120)</f>
        <v/>
      </c>
      <c r="G120" s="14"/>
      <c r="H120" s="15"/>
      <c r="I120" s="16" t="str">
        <f aca="false">IF(A120="","",IFERROR((N(F120)+N(H120))/(N(D120)+N(G120)),0))</f>
        <v/>
      </c>
      <c r="J120" s="14"/>
      <c r="K120" s="16" t="str">
        <f aca="false">IF(A120="","",ROUND(N(J120)*I120,2))</f>
        <v/>
      </c>
      <c r="L120" s="14"/>
      <c r="M120" s="16" t="str">
        <f aca="false">IF(A120="","",ROUND(N(L120)*I120,2))</f>
        <v/>
      </c>
      <c r="N120" s="17" t="str">
        <f aca="false">IF(A120="","",N(D120)+N(G120)-N(J120)-N(L120))</f>
        <v/>
      </c>
      <c r="O120" s="16" t="str">
        <f aca="false">IF(A120="","",ROUND(N(F120)+N(H120)-N(K120)-N(M120),2))</f>
        <v/>
      </c>
    </row>
    <row r="121" customFormat="false" ht="15" hidden="false" customHeight="false" outlineLevel="0" collapsed="false">
      <c r="A121" s="13"/>
      <c r="B121" s="14"/>
      <c r="C121" s="14"/>
      <c r="D121" s="14"/>
      <c r="E121" s="15"/>
      <c r="F121" s="16" t="str">
        <f aca="false">IF(D121="","",D121*E121)</f>
        <v/>
      </c>
      <c r="G121" s="14"/>
      <c r="H121" s="15"/>
      <c r="I121" s="16" t="str">
        <f aca="false">IF(A121="","",IFERROR((N(F121)+N(H121))/(N(D121)+N(G121)),0))</f>
        <v/>
      </c>
      <c r="J121" s="14"/>
      <c r="K121" s="16" t="str">
        <f aca="false">IF(A121="","",ROUND(N(J121)*I121,2))</f>
        <v/>
      </c>
      <c r="L121" s="14"/>
      <c r="M121" s="16" t="str">
        <f aca="false">IF(A121="","",ROUND(N(L121)*I121,2))</f>
        <v/>
      </c>
      <c r="N121" s="17" t="str">
        <f aca="false">IF(A121="","",N(D121)+N(G121)-N(J121)-N(L121))</f>
        <v/>
      </c>
      <c r="O121" s="16" t="str">
        <f aca="false">IF(A121="","",ROUND(N(F121)+N(H121)-N(K121)-N(M121),2))</f>
        <v/>
      </c>
    </row>
    <row r="122" customFormat="false" ht="15" hidden="false" customHeight="false" outlineLevel="0" collapsed="false">
      <c r="A122" s="13"/>
      <c r="B122" s="14"/>
      <c r="C122" s="14"/>
      <c r="D122" s="14"/>
      <c r="E122" s="15"/>
      <c r="F122" s="16" t="str">
        <f aca="false">IF(D122="","",D122*E122)</f>
        <v/>
      </c>
      <c r="G122" s="14"/>
      <c r="H122" s="15"/>
      <c r="I122" s="16" t="str">
        <f aca="false">IF(A122="","",IFERROR((N(F122)+N(H122))/(N(D122)+N(G122)),0))</f>
        <v/>
      </c>
      <c r="J122" s="14"/>
      <c r="K122" s="16" t="str">
        <f aca="false">IF(A122="","",ROUND(N(J122)*I122,2))</f>
        <v/>
      </c>
      <c r="L122" s="14"/>
      <c r="M122" s="16" t="str">
        <f aca="false">IF(A122="","",ROUND(N(L122)*I122,2))</f>
        <v/>
      </c>
      <c r="N122" s="17" t="str">
        <f aca="false">IF(A122="","",N(D122)+N(G122)-N(J122)-N(L122))</f>
        <v/>
      </c>
      <c r="O122" s="16" t="str">
        <f aca="false">IF(A122="","",ROUND(N(F122)+N(H122)-N(K122)-N(M122),2))</f>
        <v/>
      </c>
    </row>
    <row r="123" customFormat="false" ht="15" hidden="false" customHeight="false" outlineLevel="0" collapsed="false">
      <c r="A123" s="13"/>
      <c r="B123" s="14"/>
      <c r="C123" s="14"/>
      <c r="D123" s="14"/>
      <c r="E123" s="15"/>
      <c r="F123" s="16" t="str">
        <f aca="false">IF(D123="","",D123*E123)</f>
        <v/>
      </c>
      <c r="G123" s="14"/>
      <c r="H123" s="15"/>
      <c r="I123" s="16" t="str">
        <f aca="false">IF(A123="","",IFERROR((N(F123)+N(H123))/(N(D123)+N(G123)),0))</f>
        <v/>
      </c>
      <c r="J123" s="14"/>
      <c r="K123" s="16" t="str">
        <f aca="false">IF(A123="","",ROUND(N(J123)*I123,2))</f>
        <v/>
      </c>
      <c r="L123" s="14"/>
      <c r="M123" s="16" t="str">
        <f aca="false">IF(A123="","",ROUND(N(L123)*I123,2))</f>
        <v/>
      </c>
      <c r="N123" s="17" t="str">
        <f aca="false">IF(A123="","",N(D123)+N(G123)-N(J123)-N(L123))</f>
        <v/>
      </c>
      <c r="O123" s="16" t="str">
        <f aca="false">IF(A123="","",ROUND(N(F123)+N(H123)-N(K123)-N(M123),2))</f>
        <v/>
      </c>
    </row>
    <row r="124" customFormat="false" ht="15" hidden="false" customHeight="false" outlineLevel="0" collapsed="false">
      <c r="A124" s="13"/>
      <c r="B124" s="14"/>
      <c r="C124" s="14"/>
      <c r="D124" s="14"/>
      <c r="E124" s="15"/>
      <c r="F124" s="16" t="str">
        <f aca="false">IF(D124="","",D124*E124)</f>
        <v/>
      </c>
      <c r="G124" s="14"/>
      <c r="H124" s="15"/>
      <c r="I124" s="16" t="str">
        <f aca="false">IF(A124="","",IFERROR((N(F124)+N(H124))/(N(D124)+N(G124)),0))</f>
        <v/>
      </c>
      <c r="J124" s="14"/>
      <c r="K124" s="16" t="str">
        <f aca="false">IF(A124="","",ROUND(N(J124)*I124,2))</f>
        <v/>
      </c>
      <c r="L124" s="14"/>
      <c r="M124" s="16" t="str">
        <f aca="false">IF(A124="","",ROUND(N(L124)*I124,2))</f>
        <v/>
      </c>
      <c r="N124" s="17" t="str">
        <f aca="false">IF(A124="","",N(D124)+N(G124)-N(J124)-N(L124))</f>
        <v/>
      </c>
      <c r="O124" s="16" t="str">
        <f aca="false">IF(A124="","",ROUND(N(F124)+N(H124)-N(K124)-N(M124),2))</f>
        <v/>
      </c>
    </row>
    <row r="125" customFormat="false" ht="15" hidden="false" customHeight="false" outlineLevel="0" collapsed="false">
      <c r="A125" s="13"/>
      <c r="B125" s="14"/>
      <c r="C125" s="14"/>
      <c r="D125" s="14"/>
      <c r="E125" s="15"/>
      <c r="F125" s="16" t="str">
        <f aca="false">IF(D125="","",D125*E125)</f>
        <v/>
      </c>
      <c r="G125" s="14"/>
      <c r="H125" s="15"/>
      <c r="I125" s="16" t="str">
        <f aca="false">IF(A125="","",IFERROR((N(F125)+N(H125))/(N(D125)+N(G125)),0))</f>
        <v/>
      </c>
      <c r="J125" s="14"/>
      <c r="K125" s="16" t="str">
        <f aca="false">IF(A125="","",ROUND(N(J125)*I125,2))</f>
        <v/>
      </c>
      <c r="L125" s="14"/>
      <c r="M125" s="16" t="str">
        <f aca="false">IF(A125="","",ROUND(N(L125)*I125,2))</f>
        <v/>
      </c>
      <c r="N125" s="17" t="str">
        <f aca="false">IF(A125="","",N(D125)+N(G125)-N(J125)-N(L125))</f>
        <v/>
      </c>
      <c r="O125" s="16" t="str">
        <f aca="false">IF(A125="","",ROUND(N(F125)+N(H125)-N(K125)-N(M125),2))</f>
        <v/>
      </c>
    </row>
    <row r="126" customFormat="false" ht="15" hidden="false" customHeight="false" outlineLevel="0" collapsed="false">
      <c r="A126" s="13"/>
      <c r="B126" s="14"/>
      <c r="C126" s="14"/>
      <c r="D126" s="14"/>
      <c r="E126" s="15"/>
      <c r="F126" s="16" t="str">
        <f aca="false">IF(D126="","",D126*E126)</f>
        <v/>
      </c>
      <c r="G126" s="14"/>
      <c r="H126" s="15"/>
      <c r="I126" s="16" t="str">
        <f aca="false">IF(A126="","",IFERROR((N(F126)+N(H126))/(N(D126)+N(G126)),0))</f>
        <v/>
      </c>
      <c r="J126" s="14"/>
      <c r="K126" s="16" t="str">
        <f aca="false">IF(A126="","",ROUND(N(J126)*I126,2))</f>
        <v/>
      </c>
      <c r="L126" s="14"/>
      <c r="M126" s="16" t="str">
        <f aca="false">IF(A126="","",ROUND(N(L126)*I126,2))</f>
        <v/>
      </c>
      <c r="N126" s="17" t="str">
        <f aca="false">IF(A126="","",N(D126)+N(G126)-N(J126)-N(L126))</f>
        <v/>
      </c>
      <c r="O126" s="16" t="str">
        <f aca="false">IF(A126="","",ROUND(N(F126)+N(H126)-N(K126)-N(M126),2))</f>
        <v/>
      </c>
    </row>
    <row r="127" customFormat="false" ht="15" hidden="false" customHeight="false" outlineLevel="0" collapsed="false">
      <c r="A127" s="13"/>
      <c r="B127" s="14"/>
      <c r="C127" s="14"/>
      <c r="D127" s="14"/>
      <c r="E127" s="15"/>
      <c r="F127" s="16" t="str">
        <f aca="false">IF(D127="","",D127*E127)</f>
        <v/>
      </c>
      <c r="G127" s="14"/>
      <c r="H127" s="15"/>
      <c r="I127" s="16" t="str">
        <f aca="false">IF(A127="","",IFERROR((N(F127)+N(H127))/(N(D127)+N(G127)),0))</f>
        <v/>
      </c>
      <c r="J127" s="14"/>
      <c r="K127" s="16" t="str">
        <f aca="false">IF(A127="","",ROUND(N(J127)*I127,2))</f>
        <v/>
      </c>
      <c r="L127" s="14"/>
      <c r="M127" s="16" t="str">
        <f aca="false">IF(A127="","",ROUND(N(L127)*I127,2))</f>
        <v/>
      </c>
      <c r="N127" s="17" t="str">
        <f aca="false">IF(A127="","",N(D127)+N(G127)-N(J127)-N(L127))</f>
        <v/>
      </c>
      <c r="O127" s="16" t="str">
        <f aca="false">IF(A127="","",ROUND(N(F127)+N(H127)-N(K127)-N(M127),2))</f>
        <v/>
      </c>
    </row>
    <row r="128" customFormat="false" ht="15" hidden="false" customHeight="false" outlineLevel="0" collapsed="false">
      <c r="A128" s="13"/>
      <c r="B128" s="14"/>
      <c r="C128" s="14"/>
      <c r="D128" s="14"/>
      <c r="E128" s="15"/>
      <c r="F128" s="16" t="str">
        <f aca="false">IF(D128="","",D128*E128)</f>
        <v/>
      </c>
      <c r="G128" s="14"/>
      <c r="H128" s="15"/>
      <c r="I128" s="16" t="str">
        <f aca="false">IF(A128="","",IFERROR((N(F128)+N(H128))/(N(D128)+N(G128)),0))</f>
        <v/>
      </c>
      <c r="J128" s="14"/>
      <c r="K128" s="16" t="str">
        <f aca="false">IF(A128="","",ROUND(N(J128)*I128,2))</f>
        <v/>
      </c>
      <c r="L128" s="14"/>
      <c r="M128" s="16" t="str">
        <f aca="false">IF(A128="","",ROUND(N(L128)*I128,2))</f>
        <v/>
      </c>
      <c r="N128" s="17" t="str">
        <f aca="false">IF(A128="","",N(D128)+N(G128)-N(J128)-N(L128))</f>
        <v/>
      </c>
      <c r="O128" s="16" t="str">
        <f aca="false">IF(A128="","",ROUND(N(F128)+N(H128)-N(K128)-N(M128),2))</f>
        <v/>
      </c>
    </row>
    <row r="129" customFormat="false" ht="15" hidden="false" customHeight="false" outlineLevel="0" collapsed="false">
      <c r="A129" s="13"/>
      <c r="B129" s="14"/>
      <c r="C129" s="14"/>
      <c r="D129" s="14"/>
      <c r="E129" s="15"/>
      <c r="F129" s="16" t="str">
        <f aca="false">IF(D129="","",D129*E129)</f>
        <v/>
      </c>
      <c r="G129" s="14"/>
      <c r="H129" s="15"/>
      <c r="I129" s="16" t="str">
        <f aca="false">IF(A129="","",IFERROR((N(F129)+N(H129))/(N(D129)+N(G129)),0))</f>
        <v/>
      </c>
      <c r="J129" s="14"/>
      <c r="K129" s="16" t="str">
        <f aca="false">IF(A129="","",ROUND(N(J129)*I129,2))</f>
        <v/>
      </c>
      <c r="L129" s="14"/>
      <c r="M129" s="16" t="str">
        <f aca="false">IF(A129="","",ROUND(N(L129)*I129,2))</f>
        <v/>
      </c>
      <c r="N129" s="17" t="str">
        <f aca="false">IF(A129="","",N(D129)+N(G129)-N(J129)-N(L129))</f>
        <v/>
      </c>
      <c r="O129" s="16" t="str">
        <f aca="false">IF(A129="","",ROUND(N(F129)+N(H129)-N(K129)-N(M129),2))</f>
        <v/>
      </c>
    </row>
    <row r="130" customFormat="false" ht="15" hidden="false" customHeight="false" outlineLevel="0" collapsed="false">
      <c r="A130" s="13"/>
      <c r="B130" s="14"/>
      <c r="C130" s="14"/>
      <c r="D130" s="14"/>
      <c r="E130" s="15"/>
      <c r="F130" s="16" t="str">
        <f aca="false">IF(D130="","",D130*E130)</f>
        <v/>
      </c>
      <c r="G130" s="14"/>
      <c r="H130" s="15"/>
      <c r="I130" s="16" t="str">
        <f aca="false">IF(A130="","",IFERROR((N(F130)+N(H130))/(N(D130)+N(G130)),0))</f>
        <v/>
      </c>
      <c r="J130" s="14"/>
      <c r="K130" s="16" t="str">
        <f aca="false">IF(A130="","",ROUND(N(J130)*I130,2))</f>
        <v/>
      </c>
      <c r="L130" s="14"/>
      <c r="M130" s="16" t="str">
        <f aca="false">IF(A130="","",ROUND(N(L130)*I130,2))</f>
        <v/>
      </c>
      <c r="N130" s="17" t="str">
        <f aca="false">IF(A130="","",N(D130)+N(G130)-N(J130)-N(L130))</f>
        <v/>
      </c>
      <c r="O130" s="16" t="str">
        <f aca="false">IF(A130="","",ROUND(N(F130)+N(H130)-N(K130)-N(M130),2))</f>
        <v/>
      </c>
    </row>
    <row r="131" customFormat="false" ht="15" hidden="false" customHeight="false" outlineLevel="0" collapsed="false">
      <c r="A131" s="13"/>
      <c r="B131" s="14"/>
      <c r="C131" s="14"/>
      <c r="D131" s="14"/>
      <c r="E131" s="15"/>
      <c r="F131" s="16" t="str">
        <f aca="false">IF(D131="","",D131*E131)</f>
        <v/>
      </c>
      <c r="G131" s="14"/>
      <c r="H131" s="15"/>
      <c r="I131" s="16" t="str">
        <f aca="false">IF(A131="","",IFERROR((N(F131)+N(H131))/(N(D131)+N(G131)),0))</f>
        <v/>
      </c>
      <c r="J131" s="14"/>
      <c r="K131" s="16" t="str">
        <f aca="false">IF(A131="","",ROUND(N(J131)*I131,2))</f>
        <v/>
      </c>
      <c r="L131" s="14"/>
      <c r="M131" s="16" t="str">
        <f aca="false">IF(A131="","",ROUND(N(L131)*I131,2))</f>
        <v/>
      </c>
      <c r="N131" s="17" t="str">
        <f aca="false">IF(A131="","",N(D131)+N(G131)-N(J131)-N(L131))</f>
        <v/>
      </c>
      <c r="O131" s="16" t="str">
        <f aca="false">IF(A131="","",ROUND(N(F131)+N(H131)-N(K131)-N(M131),2))</f>
        <v/>
      </c>
    </row>
    <row r="132" customFormat="false" ht="15" hidden="false" customHeight="false" outlineLevel="0" collapsed="false">
      <c r="A132" s="13"/>
      <c r="B132" s="14"/>
      <c r="C132" s="14"/>
      <c r="D132" s="14"/>
      <c r="E132" s="15"/>
      <c r="F132" s="16" t="str">
        <f aca="false">IF(D132="","",D132*E132)</f>
        <v/>
      </c>
      <c r="G132" s="14"/>
      <c r="H132" s="15"/>
      <c r="I132" s="16" t="str">
        <f aca="false">IF(A132="","",IFERROR((N(F132)+N(H132))/(N(D132)+N(G132)),0))</f>
        <v/>
      </c>
      <c r="J132" s="14"/>
      <c r="K132" s="16" t="str">
        <f aca="false">IF(A132="","",ROUND(N(J132)*I132,2))</f>
        <v/>
      </c>
      <c r="L132" s="14"/>
      <c r="M132" s="16" t="str">
        <f aca="false">IF(A132="","",ROUND(N(L132)*I132,2))</f>
        <v/>
      </c>
      <c r="N132" s="17" t="str">
        <f aca="false">IF(A132="","",N(D132)+N(G132)-N(J132)-N(L132))</f>
        <v/>
      </c>
      <c r="O132" s="16" t="str">
        <f aca="false">IF(A132="","",ROUND(N(F132)+N(H132)-N(K132)-N(M132),2))</f>
        <v/>
      </c>
    </row>
    <row r="133" customFormat="false" ht="15" hidden="false" customHeight="false" outlineLevel="0" collapsed="false">
      <c r="A133" s="13"/>
      <c r="B133" s="14"/>
      <c r="C133" s="14"/>
      <c r="D133" s="14"/>
      <c r="E133" s="15"/>
      <c r="F133" s="16" t="str">
        <f aca="false">IF(D133="","",D133*E133)</f>
        <v/>
      </c>
      <c r="G133" s="14"/>
      <c r="H133" s="15"/>
      <c r="I133" s="16" t="str">
        <f aca="false">IF(A133="","",IFERROR((N(F133)+N(H133))/(N(D133)+N(G133)),0))</f>
        <v/>
      </c>
      <c r="J133" s="14"/>
      <c r="K133" s="16" t="str">
        <f aca="false">IF(A133="","",ROUND(N(J133)*I133,2))</f>
        <v/>
      </c>
      <c r="L133" s="14"/>
      <c r="M133" s="16" t="str">
        <f aca="false">IF(A133="","",ROUND(N(L133)*I133,2))</f>
        <v/>
      </c>
      <c r="N133" s="17" t="str">
        <f aca="false">IF(A133="","",N(D133)+N(G133)-N(J133)-N(L133))</f>
        <v/>
      </c>
      <c r="O133" s="16" t="str">
        <f aca="false">IF(A133="","",ROUND(N(F133)+N(H133)-N(K133)-N(M133),2))</f>
        <v/>
      </c>
    </row>
    <row r="134" customFormat="false" ht="15" hidden="false" customHeight="false" outlineLevel="0" collapsed="false">
      <c r="A134" s="13"/>
      <c r="B134" s="14"/>
      <c r="C134" s="14"/>
      <c r="D134" s="14"/>
      <c r="E134" s="15"/>
      <c r="F134" s="16" t="str">
        <f aca="false">IF(D134="","",D134*E134)</f>
        <v/>
      </c>
      <c r="G134" s="14"/>
      <c r="H134" s="15"/>
      <c r="I134" s="16" t="str">
        <f aca="false">IF(A134="","",IFERROR((N(F134)+N(H134))/(N(D134)+N(G134)),0))</f>
        <v/>
      </c>
      <c r="J134" s="14"/>
      <c r="K134" s="16" t="str">
        <f aca="false">IF(A134="","",ROUND(N(J134)*I134,2))</f>
        <v/>
      </c>
      <c r="L134" s="14"/>
      <c r="M134" s="16" t="str">
        <f aca="false">IF(A134="","",ROUND(N(L134)*I134,2))</f>
        <v/>
      </c>
      <c r="N134" s="17" t="str">
        <f aca="false">IF(A134="","",N(D134)+N(G134)-N(J134)-N(L134))</f>
        <v/>
      </c>
      <c r="O134" s="16" t="str">
        <f aca="false">IF(A134="","",ROUND(N(F134)+N(H134)-N(K134)-N(M134),2))</f>
        <v/>
      </c>
    </row>
    <row r="135" customFormat="false" ht="15" hidden="false" customHeight="false" outlineLevel="0" collapsed="false">
      <c r="A135" s="13"/>
      <c r="B135" s="14"/>
      <c r="C135" s="14"/>
      <c r="D135" s="14"/>
      <c r="E135" s="15"/>
      <c r="F135" s="16" t="str">
        <f aca="false">IF(D135="","",D135*E135)</f>
        <v/>
      </c>
      <c r="G135" s="14"/>
      <c r="H135" s="15"/>
      <c r="I135" s="16" t="str">
        <f aca="false">IF(A135="","",IFERROR((N(F135)+N(H135))/(N(D135)+N(G135)),0))</f>
        <v/>
      </c>
      <c r="J135" s="14"/>
      <c r="K135" s="16" t="str">
        <f aca="false">IF(A135="","",ROUND(N(J135)*I135,2))</f>
        <v/>
      </c>
      <c r="L135" s="14"/>
      <c r="M135" s="16" t="str">
        <f aca="false">IF(A135="","",ROUND(N(L135)*I135,2))</f>
        <v/>
      </c>
      <c r="N135" s="17" t="str">
        <f aca="false">IF(A135="","",N(D135)+N(G135)-N(J135)-N(L135))</f>
        <v/>
      </c>
      <c r="O135" s="16" t="str">
        <f aca="false">IF(A135="","",ROUND(N(F135)+N(H135)-N(K135)-N(M135),2))</f>
        <v/>
      </c>
    </row>
    <row r="136" customFormat="false" ht="15" hidden="false" customHeight="false" outlineLevel="0" collapsed="false">
      <c r="A136" s="13"/>
      <c r="B136" s="14"/>
      <c r="C136" s="14"/>
      <c r="D136" s="14"/>
      <c r="E136" s="15"/>
      <c r="F136" s="16" t="str">
        <f aca="false">IF(D136="","",D136*E136)</f>
        <v/>
      </c>
      <c r="G136" s="14"/>
      <c r="H136" s="15"/>
      <c r="I136" s="16" t="str">
        <f aca="false">IF(A136="","",IFERROR((N(F136)+N(H136))/(N(D136)+N(G136)),0))</f>
        <v/>
      </c>
      <c r="J136" s="14"/>
      <c r="K136" s="16" t="str">
        <f aca="false">IF(A136="","",ROUND(N(J136)*I136,2))</f>
        <v/>
      </c>
      <c r="L136" s="14"/>
      <c r="M136" s="16" t="str">
        <f aca="false">IF(A136="","",ROUND(N(L136)*I136,2))</f>
        <v/>
      </c>
      <c r="N136" s="17" t="str">
        <f aca="false">IF(A136="","",N(D136)+N(G136)-N(J136)-N(L136))</f>
        <v/>
      </c>
      <c r="O136" s="16" t="str">
        <f aca="false">IF(A136="","",ROUND(N(F136)+N(H136)-N(K136)-N(M136),2))</f>
        <v/>
      </c>
    </row>
    <row r="137" customFormat="false" ht="15" hidden="false" customHeight="false" outlineLevel="0" collapsed="false">
      <c r="A137" s="13"/>
      <c r="B137" s="14"/>
      <c r="C137" s="14"/>
      <c r="D137" s="14"/>
      <c r="E137" s="15"/>
      <c r="F137" s="16" t="str">
        <f aca="false">IF(D137="","",D137*E137)</f>
        <v/>
      </c>
      <c r="G137" s="14"/>
      <c r="H137" s="15"/>
      <c r="I137" s="16" t="str">
        <f aca="false">IF(A137="","",IFERROR((N(F137)+N(H137))/(N(D137)+N(G137)),0))</f>
        <v/>
      </c>
      <c r="J137" s="14"/>
      <c r="K137" s="16" t="str">
        <f aca="false">IF(A137="","",ROUND(N(J137)*I137,2))</f>
        <v/>
      </c>
      <c r="L137" s="14"/>
      <c r="M137" s="16" t="str">
        <f aca="false">IF(A137="","",ROUND(N(L137)*I137,2))</f>
        <v/>
      </c>
      <c r="N137" s="17" t="str">
        <f aca="false">IF(A137="","",N(D137)+N(G137)-N(J137)-N(L137))</f>
        <v/>
      </c>
      <c r="O137" s="16" t="str">
        <f aca="false">IF(A137="","",ROUND(N(F137)+N(H137)-N(K137)-N(M137),2))</f>
        <v/>
      </c>
    </row>
    <row r="138" customFormat="false" ht="15" hidden="false" customHeight="false" outlineLevel="0" collapsed="false">
      <c r="A138" s="13"/>
      <c r="B138" s="14"/>
      <c r="C138" s="14"/>
      <c r="D138" s="14"/>
      <c r="E138" s="15"/>
      <c r="F138" s="16" t="str">
        <f aca="false">IF(D138="","",D138*E138)</f>
        <v/>
      </c>
      <c r="G138" s="14"/>
      <c r="H138" s="15"/>
      <c r="I138" s="16" t="str">
        <f aca="false">IF(A138="","",IFERROR((N(F138)+N(H138))/(N(D138)+N(G138)),0))</f>
        <v/>
      </c>
      <c r="J138" s="14"/>
      <c r="K138" s="16" t="str">
        <f aca="false">IF(A138="","",ROUND(N(J138)*I138,2))</f>
        <v/>
      </c>
      <c r="L138" s="14"/>
      <c r="M138" s="16" t="str">
        <f aca="false">IF(A138="","",ROUND(N(L138)*I138,2))</f>
        <v/>
      </c>
      <c r="N138" s="17" t="str">
        <f aca="false">IF(A138="","",N(D138)+N(G138)-N(J138)-N(L138))</f>
        <v/>
      </c>
      <c r="O138" s="16" t="str">
        <f aca="false">IF(A138="","",ROUND(N(F138)+N(H138)-N(K138)-N(M138),2))</f>
        <v/>
      </c>
    </row>
    <row r="139" customFormat="false" ht="15" hidden="false" customHeight="false" outlineLevel="0" collapsed="false">
      <c r="A139" s="13"/>
      <c r="B139" s="14"/>
      <c r="C139" s="14"/>
      <c r="D139" s="14"/>
      <c r="E139" s="15"/>
      <c r="F139" s="16" t="str">
        <f aca="false">IF(D139="","",D139*E139)</f>
        <v/>
      </c>
      <c r="G139" s="14"/>
      <c r="H139" s="15"/>
      <c r="I139" s="16" t="str">
        <f aca="false">IF(A139="","",IFERROR((N(F139)+N(H139))/(N(D139)+N(G139)),0))</f>
        <v/>
      </c>
      <c r="J139" s="14"/>
      <c r="K139" s="16" t="str">
        <f aca="false">IF(A139="","",ROUND(N(J139)*I139,2))</f>
        <v/>
      </c>
      <c r="L139" s="14"/>
      <c r="M139" s="16" t="str">
        <f aca="false">IF(A139="","",ROUND(N(L139)*I139,2))</f>
        <v/>
      </c>
      <c r="N139" s="17" t="str">
        <f aca="false">IF(A139="","",N(D139)+N(G139)-N(J139)-N(L139))</f>
        <v/>
      </c>
      <c r="O139" s="16" t="str">
        <f aca="false">IF(A139="","",ROUND(N(F139)+N(H139)-N(K139)-N(M139),2))</f>
        <v/>
      </c>
    </row>
    <row r="140" customFormat="false" ht="15" hidden="false" customHeight="false" outlineLevel="0" collapsed="false">
      <c r="A140" s="13"/>
      <c r="B140" s="14"/>
      <c r="C140" s="14"/>
      <c r="D140" s="14"/>
      <c r="E140" s="15"/>
      <c r="F140" s="16" t="str">
        <f aca="false">IF(D140="","",D140*E140)</f>
        <v/>
      </c>
      <c r="G140" s="14"/>
      <c r="H140" s="15"/>
      <c r="I140" s="16" t="str">
        <f aca="false">IF(A140="","",IFERROR((N(F140)+N(H140))/(N(D140)+N(G140)),0))</f>
        <v/>
      </c>
      <c r="J140" s="14"/>
      <c r="K140" s="16" t="str">
        <f aca="false">IF(A140="","",ROUND(N(J140)*I140,2))</f>
        <v/>
      </c>
      <c r="L140" s="14"/>
      <c r="M140" s="16" t="str">
        <f aca="false">IF(A140="","",ROUND(N(L140)*I140,2))</f>
        <v/>
      </c>
      <c r="N140" s="17" t="str">
        <f aca="false">IF(A140="","",N(D140)+N(G140)-N(J140)-N(L140))</f>
        <v/>
      </c>
      <c r="O140" s="16" t="str">
        <f aca="false">IF(A140="","",ROUND(N(F140)+N(H140)-N(K140)-N(M140),2))</f>
        <v/>
      </c>
    </row>
    <row r="141" customFormat="false" ht="15" hidden="false" customHeight="false" outlineLevel="0" collapsed="false">
      <c r="A141" s="13"/>
      <c r="B141" s="14"/>
      <c r="C141" s="14"/>
      <c r="D141" s="14"/>
      <c r="E141" s="15"/>
      <c r="F141" s="16" t="str">
        <f aca="false">IF(D141="","",D141*E141)</f>
        <v/>
      </c>
      <c r="G141" s="14"/>
      <c r="H141" s="15"/>
      <c r="I141" s="16" t="str">
        <f aca="false">IF(A141="","",IFERROR((N(F141)+N(H141))/(N(D141)+N(G141)),0))</f>
        <v/>
      </c>
      <c r="J141" s="14"/>
      <c r="K141" s="16" t="str">
        <f aca="false">IF(A141="","",ROUND(N(J141)*I141,2))</f>
        <v/>
      </c>
      <c r="L141" s="14"/>
      <c r="M141" s="16" t="str">
        <f aca="false">IF(A141="","",ROUND(N(L141)*I141,2))</f>
        <v/>
      </c>
      <c r="N141" s="17" t="str">
        <f aca="false">IF(A141="","",N(D141)+N(G141)-N(J141)-N(L141))</f>
        <v/>
      </c>
      <c r="O141" s="16" t="str">
        <f aca="false">IF(A141="","",ROUND(N(F141)+N(H141)-N(K141)-N(M141),2))</f>
        <v/>
      </c>
    </row>
    <row r="142" customFormat="false" ht="15" hidden="false" customHeight="false" outlineLevel="0" collapsed="false">
      <c r="A142" s="13"/>
      <c r="B142" s="14"/>
      <c r="C142" s="14"/>
      <c r="D142" s="14"/>
      <c r="E142" s="15"/>
      <c r="F142" s="16" t="str">
        <f aca="false">IF(D142="","",D142*E142)</f>
        <v/>
      </c>
      <c r="G142" s="14"/>
      <c r="H142" s="15"/>
      <c r="I142" s="16" t="str">
        <f aca="false">IF(A142="","",IFERROR((N(F142)+N(H142))/(N(D142)+N(G142)),0))</f>
        <v/>
      </c>
      <c r="J142" s="14"/>
      <c r="K142" s="16" t="str">
        <f aca="false">IF(A142="","",ROUND(N(J142)*I142,2))</f>
        <v/>
      </c>
      <c r="L142" s="14"/>
      <c r="M142" s="16" t="str">
        <f aca="false">IF(A142="","",ROUND(N(L142)*I142,2))</f>
        <v/>
      </c>
      <c r="N142" s="17" t="str">
        <f aca="false">IF(A142="","",N(D142)+N(G142)-N(J142)-N(L142))</f>
        <v/>
      </c>
      <c r="O142" s="16" t="str">
        <f aca="false">IF(A142="","",ROUND(N(F142)+N(H142)-N(K142)-N(M142),2))</f>
        <v/>
      </c>
    </row>
    <row r="143" customFormat="false" ht="15" hidden="false" customHeight="false" outlineLevel="0" collapsed="false">
      <c r="A143" s="13"/>
      <c r="B143" s="14"/>
      <c r="C143" s="14"/>
      <c r="D143" s="14"/>
      <c r="E143" s="15"/>
      <c r="F143" s="16" t="str">
        <f aca="false">IF(D143="","",D143*E143)</f>
        <v/>
      </c>
      <c r="G143" s="14"/>
      <c r="H143" s="15"/>
      <c r="I143" s="16" t="str">
        <f aca="false">IF(A143="","",IFERROR((N(F143)+N(H143))/(N(D143)+N(G143)),0))</f>
        <v/>
      </c>
      <c r="J143" s="14"/>
      <c r="K143" s="16" t="str">
        <f aca="false">IF(A143="","",ROUND(N(J143)*I143,2))</f>
        <v/>
      </c>
      <c r="L143" s="14"/>
      <c r="M143" s="16" t="str">
        <f aca="false">IF(A143="","",ROUND(N(L143)*I143,2))</f>
        <v/>
      </c>
      <c r="N143" s="17" t="str">
        <f aca="false">IF(A143="","",N(D143)+N(G143)-N(J143)-N(L143))</f>
        <v/>
      </c>
      <c r="O143" s="16" t="str">
        <f aca="false">IF(A143="","",ROUND(N(F143)+N(H143)-N(K143)-N(M143),2))</f>
        <v/>
      </c>
    </row>
    <row r="144" customFormat="false" ht="15" hidden="false" customHeight="false" outlineLevel="0" collapsed="false">
      <c r="A144" s="13"/>
      <c r="B144" s="14"/>
      <c r="C144" s="14"/>
      <c r="D144" s="14"/>
      <c r="E144" s="15"/>
      <c r="F144" s="16" t="str">
        <f aca="false">IF(D144="","",D144*E144)</f>
        <v/>
      </c>
      <c r="G144" s="14"/>
      <c r="H144" s="15"/>
      <c r="I144" s="16" t="str">
        <f aca="false">IF(A144="","",IFERROR((N(F144)+N(H144))/(N(D144)+N(G144)),0))</f>
        <v/>
      </c>
      <c r="J144" s="14"/>
      <c r="K144" s="16" t="str">
        <f aca="false">IF(A144="","",ROUND(N(J144)*I144,2))</f>
        <v/>
      </c>
      <c r="L144" s="14"/>
      <c r="M144" s="16" t="str">
        <f aca="false">IF(A144="","",ROUND(N(L144)*I144,2))</f>
        <v/>
      </c>
      <c r="N144" s="17" t="str">
        <f aca="false">IF(A144="","",N(D144)+N(G144)-N(J144)-N(L144))</f>
        <v/>
      </c>
      <c r="O144" s="16" t="str">
        <f aca="false">IF(A144="","",ROUND(N(F144)+N(H144)-N(K144)-N(M144),2))</f>
        <v/>
      </c>
    </row>
    <row r="145" customFormat="false" ht="15" hidden="false" customHeight="false" outlineLevel="0" collapsed="false">
      <c r="A145" s="13"/>
      <c r="B145" s="14"/>
      <c r="C145" s="14"/>
      <c r="D145" s="14"/>
      <c r="E145" s="15"/>
      <c r="F145" s="16" t="str">
        <f aca="false">IF(D145="","",D145*E145)</f>
        <v/>
      </c>
      <c r="G145" s="14"/>
      <c r="H145" s="15"/>
      <c r="I145" s="16" t="str">
        <f aca="false">IF(A145="","",IFERROR((N(F145)+N(H145))/(N(D145)+N(G145)),0))</f>
        <v/>
      </c>
      <c r="J145" s="14"/>
      <c r="K145" s="16" t="str">
        <f aca="false">IF(A145="","",ROUND(N(J145)*I145,2))</f>
        <v/>
      </c>
      <c r="L145" s="14"/>
      <c r="M145" s="16" t="str">
        <f aca="false">IF(A145="","",ROUND(N(L145)*I145,2))</f>
        <v/>
      </c>
      <c r="N145" s="17" t="str">
        <f aca="false">IF(A145="","",N(D145)+N(G145)-N(J145)-N(L145))</f>
        <v/>
      </c>
      <c r="O145" s="16" t="str">
        <f aca="false">IF(A145="","",ROUND(N(F145)+N(H145)-N(K145)-N(M145),2))</f>
        <v/>
      </c>
    </row>
    <row r="146" customFormat="false" ht="15" hidden="false" customHeight="false" outlineLevel="0" collapsed="false">
      <c r="A146" s="13"/>
      <c r="B146" s="14"/>
      <c r="C146" s="14"/>
      <c r="D146" s="14"/>
      <c r="E146" s="15"/>
      <c r="F146" s="16" t="str">
        <f aca="false">IF(D146="","",D146*E146)</f>
        <v/>
      </c>
      <c r="G146" s="14"/>
      <c r="H146" s="15"/>
      <c r="I146" s="16" t="str">
        <f aca="false">IF(A146="","",IFERROR((N(F146)+N(H146))/(N(D146)+N(G146)),0))</f>
        <v/>
      </c>
      <c r="J146" s="14"/>
      <c r="K146" s="16" t="str">
        <f aca="false">IF(A146="","",ROUND(N(J146)*I146,2))</f>
        <v/>
      </c>
      <c r="L146" s="14"/>
      <c r="M146" s="16" t="str">
        <f aca="false">IF(A146="","",ROUND(N(L146)*I146,2))</f>
        <v/>
      </c>
      <c r="N146" s="17" t="str">
        <f aca="false">IF(A146="","",N(D146)+N(G146)-N(J146)-N(L146))</f>
        <v/>
      </c>
      <c r="O146" s="16" t="str">
        <f aca="false">IF(A146="","",ROUND(N(F146)+N(H146)-N(K146)-N(M146),2))</f>
        <v/>
      </c>
    </row>
    <row r="147" customFormat="false" ht="15" hidden="false" customHeight="false" outlineLevel="0" collapsed="false">
      <c r="A147" s="13"/>
      <c r="B147" s="14"/>
      <c r="C147" s="14"/>
      <c r="D147" s="14"/>
      <c r="E147" s="15"/>
      <c r="F147" s="16" t="str">
        <f aca="false">IF(D147="","",D147*E147)</f>
        <v/>
      </c>
      <c r="G147" s="14"/>
      <c r="H147" s="15"/>
      <c r="I147" s="16" t="str">
        <f aca="false">IF(A147="","",IFERROR((N(F147)+N(H147))/(N(D147)+N(G147)),0))</f>
        <v/>
      </c>
      <c r="J147" s="14"/>
      <c r="K147" s="16" t="str">
        <f aca="false">IF(A147="","",ROUND(N(J147)*I147,2))</f>
        <v/>
      </c>
      <c r="L147" s="14"/>
      <c r="M147" s="16" t="str">
        <f aca="false">IF(A147="","",ROUND(N(L147)*I147,2))</f>
        <v/>
      </c>
      <c r="N147" s="17" t="str">
        <f aca="false">IF(A147="","",N(D147)+N(G147)-N(J147)-N(L147))</f>
        <v/>
      </c>
      <c r="O147" s="16" t="str">
        <f aca="false">IF(A147="","",ROUND(N(F147)+N(H147)-N(K147)-N(M147),2))</f>
        <v/>
      </c>
    </row>
    <row r="148" customFormat="false" ht="15" hidden="false" customHeight="false" outlineLevel="0" collapsed="false">
      <c r="A148" s="13"/>
      <c r="B148" s="14"/>
      <c r="C148" s="14"/>
      <c r="D148" s="14"/>
      <c r="E148" s="15"/>
      <c r="F148" s="16" t="str">
        <f aca="false">IF(D148="","",D148*E148)</f>
        <v/>
      </c>
      <c r="G148" s="14"/>
      <c r="H148" s="15"/>
      <c r="I148" s="16" t="str">
        <f aca="false">IF(A148="","",IFERROR((N(F148)+N(H148))/(N(D148)+N(G148)),0))</f>
        <v/>
      </c>
      <c r="J148" s="14"/>
      <c r="K148" s="16" t="str">
        <f aca="false">IF(A148="","",ROUND(N(J148)*I148,2))</f>
        <v/>
      </c>
      <c r="L148" s="14"/>
      <c r="M148" s="16" t="str">
        <f aca="false">IF(A148="","",ROUND(N(L148)*I148,2))</f>
        <v/>
      </c>
      <c r="N148" s="17" t="str">
        <f aca="false">IF(A148="","",N(D148)+N(G148)-N(J148)-N(L148))</f>
        <v/>
      </c>
      <c r="O148" s="16" t="str">
        <f aca="false">IF(A148="","",ROUND(N(F148)+N(H148)-N(K148)-N(M148),2))</f>
        <v/>
      </c>
    </row>
    <row r="149" customFormat="false" ht="15" hidden="false" customHeight="false" outlineLevel="0" collapsed="false">
      <c r="A149" s="13"/>
      <c r="B149" s="14"/>
      <c r="C149" s="14"/>
      <c r="D149" s="14"/>
      <c r="E149" s="15"/>
      <c r="F149" s="16" t="str">
        <f aca="false">IF(D149="","",D149*E149)</f>
        <v/>
      </c>
      <c r="G149" s="14"/>
      <c r="H149" s="15"/>
      <c r="I149" s="16" t="str">
        <f aca="false">IF(A149="","",IFERROR((N(F149)+N(H149))/(N(D149)+N(G149)),0))</f>
        <v/>
      </c>
      <c r="J149" s="14"/>
      <c r="K149" s="16" t="str">
        <f aca="false">IF(A149="","",ROUND(N(J149)*I149,2))</f>
        <v/>
      </c>
      <c r="L149" s="14"/>
      <c r="M149" s="16" t="str">
        <f aca="false">IF(A149="","",ROUND(N(L149)*I149,2))</f>
        <v/>
      </c>
      <c r="N149" s="17" t="str">
        <f aca="false">IF(A149="","",N(D149)+N(G149)-N(J149)-N(L149))</f>
        <v/>
      </c>
      <c r="O149" s="16" t="str">
        <f aca="false">IF(A149="","",ROUND(N(F149)+N(H149)-N(K149)-N(M149),2))</f>
        <v/>
      </c>
    </row>
    <row r="150" customFormat="false" ht="15" hidden="false" customHeight="false" outlineLevel="0" collapsed="false">
      <c r="A150" s="13"/>
      <c r="B150" s="14"/>
      <c r="C150" s="14"/>
      <c r="D150" s="14"/>
      <c r="E150" s="15"/>
      <c r="F150" s="16" t="str">
        <f aca="false">IF(D150="","",D150*E150)</f>
        <v/>
      </c>
      <c r="G150" s="14"/>
      <c r="H150" s="15"/>
      <c r="I150" s="16" t="str">
        <f aca="false">IF(A150="","",IFERROR((N(F150)+N(H150))/(N(D150)+N(G150)),0))</f>
        <v/>
      </c>
      <c r="J150" s="14"/>
      <c r="K150" s="16" t="str">
        <f aca="false">IF(A150="","",ROUND(N(J150)*I150,2))</f>
        <v/>
      </c>
      <c r="L150" s="14"/>
      <c r="M150" s="16" t="str">
        <f aca="false">IF(A150="","",ROUND(N(L150)*I150,2))</f>
        <v/>
      </c>
      <c r="N150" s="17" t="str">
        <f aca="false">IF(A150="","",N(D150)+N(G150)-N(J150)-N(L150))</f>
        <v/>
      </c>
      <c r="O150" s="16" t="str">
        <f aca="false">IF(A150="","",ROUND(N(F150)+N(H150)-N(K150)-N(M150),2))</f>
        <v/>
      </c>
    </row>
    <row r="151" customFormat="false" ht="15" hidden="false" customHeight="false" outlineLevel="0" collapsed="false">
      <c r="A151" s="13"/>
      <c r="B151" s="14"/>
      <c r="C151" s="14"/>
      <c r="D151" s="14"/>
      <c r="E151" s="15"/>
      <c r="F151" s="16" t="str">
        <f aca="false">IF(D151="","",D151*E151)</f>
        <v/>
      </c>
      <c r="G151" s="14"/>
      <c r="H151" s="15"/>
      <c r="I151" s="16" t="str">
        <f aca="false">IF(A151="","",IFERROR((N(F151)+N(H151))/(N(D151)+N(G151)),0))</f>
        <v/>
      </c>
      <c r="J151" s="14"/>
      <c r="K151" s="16" t="str">
        <f aca="false">IF(A151="","",ROUND(N(J151)*I151,2))</f>
        <v/>
      </c>
      <c r="L151" s="14"/>
      <c r="M151" s="16" t="str">
        <f aca="false">IF(A151="","",ROUND(N(L151)*I151,2))</f>
        <v/>
      </c>
      <c r="N151" s="17" t="str">
        <f aca="false">IF(A151="","",N(D151)+N(G151)-N(J151)-N(L151))</f>
        <v/>
      </c>
      <c r="O151" s="16" t="str">
        <f aca="false">IF(A151="","",ROUND(N(F151)+N(H151)-N(K151)-N(M151),2))</f>
        <v/>
      </c>
    </row>
    <row r="152" customFormat="false" ht="15" hidden="false" customHeight="false" outlineLevel="0" collapsed="false">
      <c r="A152" s="13"/>
      <c r="B152" s="14"/>
      <c r="C152" s="14"/>
      <c r="D152" s="14"/>
      <c r="E152" s="15"/>
      <c r="F152" s="16" t="str">
        <f aca="false">IF(D152="","",D152*E152)</f>
        <v/>
      </c>
      <c r="G152" s="14"/>
      <c r="H152" s="15"/>
      <c r="I152" s="16" t="str">
        <f aca="false">IF(A152="","",IFERROR((N(F152)+N(H152))/(N(D152)+N(G152)),0))</f>
        <v/>
      </c>
      <c r="J152" s="14"/>
      <c r="K152" s="16" t="str">
        <f aca="false">IF(A152="","",ROUND(N(J152)*I152,2))</f>
        <v/>
      </c>
      <c r="L152" s="14"/>
      <c r="M152" s="16" t="str">
        <f aca="false">IF(A152="","",ROUND(N(L152)*I152,2))</f>
        <v/>
      </c>
      <c r="N152" s="17" t="str">
        <f aca="false">IF(A152="","",N(D152)+N(G152)-N(J152)-N(L152))</f>
        <v/>
      </c>
      <c r="O152" s="16" t="str">
        <f aca="false">IF(A152="","",ROUND(N(F152)+N(H152)-N(K152)-N(M152),2))</f>
        <v/>
      </c>
    </row>
    <row r="153" customFormat="false" ht="15" hidden="false" customHeight="false" outlineLevel="0" collapsed="false">
      <c r="A153" s="13"/>
      <c r="B153" s="14"/>
      <c r="C153" s="14"/>
      <c r="D153" s="14"/>
      <c r="E153" s="15"/>
      <c r="F153" s="16" t="str">
        <f aca="false">IF(D153="","",D153*E153)</f>
        <v/>
      </c>
      <c r="G153" s="14"/>
      <c r="H153" s="15"/>
      <c r="I153" s="16" t="str">
        <f aca="false">IF(A153="","",IFERROR((N(F153)+N(H153))/(N(D153)+N(G153)),0))</f>
        <v/>
      </c>
      <c r="J153" s="14"/>
      <c r="K153" s="16" t="str">
        <f aca="false">IF(A153="","",ROUND(N(J153)*I153,2))</f>
        <v/>
      </c>
      <c r="L153" s="14"/>
      <c r="M153" s="16" t="str">
        <f aca="false">IF(A153="","",ROUND(N(L153)*I153,2))</f>
        <v/>
      </c>
      <c r="N153" s="17" t="str">
        <f aca="false">IF(A153="","",N(D153)+N(G153)-N(J153)-N(L153))</f>
        <v/>
      </c>
      <c r="O153" s="16" t="str">
        <f aca="false">IF(A153="","",ROUND(N(F153)+N(H153)-N(K153)-N(M153),2))</f>
        <v/>
      </c>
    </row>
    <row r="154" customFormat="false" ht="15" hidden="false" customHeight="false" outlineLevel="0" collapsed="false">
      <c r="A154" s="13"/>
      <c r="B154" s="14"/>
      <c r="C154" s="14"/>
      <c r="D154" s="14"/>
      <c r="E154" s="15"/>
      <c r="F154" s="16" t="str">
        <f aca="false">IF(D154="","",D154*E154)</f>
        <v/>
      </c>
      <c r="G154" s="14"/>
      <c r="H154" s="15"/>
      <c r="I154" s="16" t="str">
        <f aca="false">IF(A154="","",IFERROR((N(F154)+N(H154))/(N(D154)+N(G154)),0))</f>
        <v/>
      </c>
      <c r="J154" s="14"/>
      <c r="K154" s="16" t="str">
        <f aca="false">IF(A154="","",ROUND(N(J154)*I154,2))</f>
        <v/>
      </c>
      <c r="L154" s="14"/>
      <c r="M154" s="16" t="str">
        <f aca="false">IF(A154="","",ROUND(N(L154)*I154,2))</f>
        <v/>
      </c>
      <c r="N154" s="17" t="str">
        <f aca="false">IF(A154="","",N(D154)+N(G154)-N(J154)-N(L154))</f>
        <v/>
      </c>
      <c r="O154" s="16" t="str">
        <f aca="false">IF(A154="","",ROUND(N(F154)+N(H154)-N(K154)-N(M154),2))</f>
        <v/>
      </c>
    </row>
    <row r="155" customFormat="false" ht="15" hidden="false" customHeight="false" outlineLevel="0" collapsed="false">
      <c r="A155" s="13"/>
      <c r="B155" s="14"/>
      <c r="C155" s="14"/>
      <c r="D155" s="14"/>
      <c r="E155" s="15"/>
      <c r="F155" s="16" t="str">
        <f aca="false">IF(D155="","",D155*E155)</f>
        <v/>
      </c>
      <c r="G155" s="14"/>
      <c r="H155" s="15"/>
      <c r="I155" s="16" t="str">
        <f aca="false">IF(A155="","",IFERROR((N(F155)+N(H155))/(N(D155)+N(G155)),0))</f>
        <v/>
      </c>
      <c r="J155" s="14"/>
      <c r="K155" s="16" t="str">
        <f aca="false">IF(A155="","",ROUND(N(J155)*I155,2))</f>
        <v/>
      </c>
      <c r="L155" s="14"/>
      <c r="M155" s="16" t="str">
        <f aca="false">IF(A155="","",ROUND(N(L155)*I155,2))</f>
        <v/>
      </c>
      <c r="N155" s="17" t="str">
        <f aca="false">IF(A155="","",N(D155)+N(G155)-N(J155)-N(L155))</f>
        <v/>
      </c>
      <c r="O155" s="16" t="str">
        <f aca="false">IF(A155="","",ROUND(N(F155)+N(H155)-N(K155)-N(M155),2))</f>
        <v/>
      </c>
    </row>
    <row r="156" customFormat="false" ht="15" hidden="false" customHeight="false" outlineLevel="0" collapsed="false">
      <c r="A156" s="13"/>
      <c r="B156" s="14"/>
      <c r="C156" s="14"/>
      <c r="D156" s="14"/>
      <c r="E156" s="15"/>
      <c r="F156" s="16" t="str">
        <f aca="false">IF(D156="","",D156*E156)</f>
        <v/>
      </c>
      <c r="G156" s="14"/>
      <c r="H156" s="15"/>
      <c r="I156" s="16" t="str">
        <f aca="false">IF(A156="","",IFERROR((N(F156)+N(H156))/(N(D156)+N(G156)),0))</f>
        <v/>
      </c>
      <c r="J156" s="14"/>
      <c r="K156" s="16" t="str">
        <f aca="false">IF(A156="","",ROUND(N(J156)*I156,2))</f>
        <v/>
      </c>
      <c r="L156" s="14"/>
      <c r="M156" s="16" t="str">
        <f aca="false">IF(A156="","",ROUND(N(L156)*I156,2))</f>
        <v/>
      </c>
      <c r="N156" s="17" t="str">
        <f aca="false">IF(A156="","",N(D156)+N(G156)-N(J156)-N(L156))</f>
        <v/>
      </c>
      <c r="O156" s="16" t="str">
        <f aca="false">IF(A156="","",ROUND(N(F156)+N(H156)-N(K156)-N(M156),2))</f>
        <v/>
      </c>
    </row>
    <row r="157" customFormat="false" ht="15" hidden="false" customHeight="false" outlineLevel="0" collapsed="false">
      <c r="A157" s="13"/>
      <c r="B157" s="14"/>
      <c r="C157" s="14"/>
      <c r="D157" s="14"/>
      <c r="E157" s="15"/>
      <c r="F157" s="16" t="str">
        <f aca="false">IF(D157="","",D157*E157)</f>
        <v/>
      </c>
      <c r="G157" s="14"/>
      <c r="H157" s="15"/>
      <c r="I157" s="16" t="str">
        <f aca="false">IF(A157="","",IFERROR((N(F157)+N(H157))/(N(D157)+N(G157)),0))</f>
        <v/>
      </c>
      <c r="J157" s="14"/>
      <c r="K157" s="16" t="str">
        <f aca="false">IF(A157="","",ROUND(N(J157)*I157,2))</f>
        <v/>
      </c>
      <c r="L157" s="14"/>
      <c r="M157" s="16" t="str">
        <f aca="false">IF(A157="","",ROUND(N(L157)*I157,2))</f>
        <v/>
      </c>
      <c r="N157" s="17" t="str">
        <f aca="false">IF(A157="","",N(D157)+N(G157)-N(J157)-N(L157))</f>
        <v/>
      </c>
      <c r="O157" s="16" t="str">
        <f aca="false">IF(A157="","",ROUND(N(F157)+N(H157)-N(K157)-N(M157),2))</f>
        <v/>
      </c>
    </row>
    <row r="158" customFormat="false" ht="15" hidden="false" customHeight="false" outlineLevel="0" collapsed="false">
      <c r="A158" s="13"/>
      <c r="B158" s="14"/>
      <c r="C158" s="14"/>
      <c r="D158" s="14"/>
      <c r="E158" s="15"/>
      <c r="F158" s="16" t="str">
        <f aca="false">IF(D158="","",D158*E158)</f>
        <v/>
      </c>
      <c r="G158" s="14"/>
      <c r="H158" s="15"/>
      <c r="I158" s="16" t="str">
        <f aca="false">IF(A158="","",IFERROR((N(F158)+N(H158))/(N(D158)+N(G158)),0))</f>
        <v/>
      </c>
      <c r="J158" s="14"/>
      <c r="K158" s="16" t="str">
        <f aca="false">IF(A158="","",ROUND(N(J158)*I158,2))</f>
        <v/>
      </c>
      <c r="L158" s="14"/>
      <c r="M158" s="16" t="str">
        <f aca="false">IF(A158="","",ROUND(N(L158)*I158,2))</f>
        <v/>
      </c>
      <c r="N158" s="17" t="str">
        <f aca="false">IF(A158="","",N(D158)+N(G158)-N(J158)-N(L158))</f>
        <v/>
      </c>
      <c r="O158" s="16" t="str">
        <f aca="false">IF(A158="","",ROUND(N(F158)+N(H158)-N(K158)-N(M158),2))</f>
        <v/>
      </c>
    </row>
    <row r="159" customFormat="false" ht="15" hidden="false" customHeight="false" outlineLevel="0" collapsed="false">
      <c r="A159" s="13"/>
      <c r="B159" s="14"/>
      <c r="C159" s="14"/>
      <c r="D159" s="14"/>
      <c r="E159" s="15"/>
      <c r="F159" s="16" t="str">
        <f aca="false">IF(D159="","",D159*E159)</f>
        <v/>
      </c>
      <c r="G159" s="14"/>
      <c r="H159" s="15"/>
      <c r="I159" s="16" t="str">
        <f aca="false">IF(A159="","",IFERROR((N(F159)+N(H159))/(N(D159)+N(G159)),0))</f>
        <v/>
      </c>
      <c r="J159" s="14"/>
      <c r="K159" s="16" t="str">
        <f aca="false">IF(A159="","",ROUND(N(J159)*I159,2))</f>
        <v/>
      </c>
      <c r="L159" s="14"/>
      <c r="M159" s="16" t="str">
        <f aca="false">IF(A159="","",ROUND(N(L159)*I159,2))</f>
        <v/>
      </c>
      <c r="N159" s="17" t="str">
        <f aca="false">IF(A159="","",N(D159)+N(G159)-N(J159)-N(L159))</f>
        <v/>
      </c>
      <c r="O159" s="16" t="str">
        <f aca="false">IF(A159="","",ROUND(N(F159)+N(H159)-N(K159)-N(M159),2))</f>
        <v/>
      </c>
    </row>
    <row r="160" customFormat="false" ht="15" hidden="false" customHeight="false" outlineLevel="0" collapsed="false">
      <c r="A160" s="13"/>
      <c r="B160" s="14"/>
      <c r="C160" s="14"/>
      <c r="D160" s="14"/>
      <c r="E160" s="15"/>
      <c r="F160" s="16" t="str">
        <f aca="false">IF(D160="","",D160*E160)</f>
        <v/>
      </c>
      <c r="G160" s="14"/>
      <c r="H160" s="15"/>
      <c r="I160" s="16" t="str">
        <f aca="false">IF(A160="","",IFERROR((N(F160)+N(H160))/(N(D160)+N(G160)),0))</f>
        <v/>
      </c>
      <c r="J160" s="14"/>
      <c r="K160" s="16" t="str">
        <f aca="false">IF(A160="","",ROUND(N(J160)*I160,2))</f>
        <v/>
      </c>
      <c r="L160" s="14"/>
      <c r="M160" s="16" t="str">
        <f aca="false">IF(A160="","",ROUND(N(L160)*I160,2))</f>
        <v/>
      </c>
      <c r="N160" s="17" t="str">
        <f aca="false">IF(A160="","",N(D160)+N(G160)-N(J160)-N(L160))</f>
        <v/>
      </c>
      <c r="O160" s="16" t="str">
        <f aca="false">IF(A160="","",ROUND(N(F160)+N(H160)-N(K160)-N(M160),2))</f>
        <v/>
      </c>
    </row>
    <row r="161" customFormat="false" ht="15" hidden="false" customHeight="false" outlineLevel="0" collapsed="false">
      <c r="A161" s="13"/>
      <c r="B161" s="14"/>
      <c r="C161" s="14"/>
      <c r="D161" s="14"/>
      <c r="E161" s="15"/>
      <c r="F161" s="16" t="str">
        <f aca="false">IF(D161="","",D161*E161)</f>
        <v/>
      </c>
      <c r="G161" s="14"/>
      <c r="H161" s="15"/>
      <c r="I161" s="16" t="str">
        <f aca="false">IF(A161="","",IFERROR((N(F161)+N(H161))/(N(D161)+N(G161)),0))</f>
        <v/>
      </c>
      <c r="J161" s="14"/>
      <c r="K161" s="16" t="str">
        <f aca="false">IF(A161="","",ROUND(N(J161)*I161,2))</f>
        <v/>
      </c>
      <c r="L161" s="14"/>
      <c r="M161" s="16" t="str">
        <f aca="false">IF(A161="","",ROUND(N(L161)*I161,2))</f>
        <v/>
      </c>
      <c r="N161" s="17" t="str">
        <f aca="false">IF(A161="","",N(D161)+N(G161)-N(J161)-N(L161))</f>
        <v/>
      </c>
      <c r="O161" s="16" t="str">
        <f aca="false">IF(A161="","",ROUND(N(F161)+N(H161)-N(K161)-N(M161),2))</f>
        <v/>
      </c>
    </row>
    <row r="162" customFormat="false" ht="15" hidden="false" customHeight="false" outlineLevel="0" collapsed="false">
      <c r="A162" s="13"/>
      <c r="B162" s="14"/>
      <c r="C162" s="14"/>
      <c r="D162" s="14"/>
      <c r="E162" s="15"/>
      <c r="F162" s="16" t="str">
        <f aca="false">IF(D162="","",D162*E162)</f>
        <v/>
      </c>
      <c r="G162" s="14"/>
      <c r="H162" s="15"/>
      <c r="I162" s="16" t="str">
        <f aca="false">IF(A162="","",IFERROR((N(F162)+N(H162))/(N(D162)+N(G162)),0))</f>
        <v/>
      </c>
      <c r="J162" s="14"/>
      <c r="K162" s="16" t="str">
        <f aca="false">IF(A162="","",ROUND(N(J162)*I162,2))</f>
        <v/>
      </c>
      <c r="L162" s="14"/>
      <c r="M162" s="16" t="str">
        <f aca="false">IF(A162="","",ROUND(N(L162)*I162,2))</f>
        <v/>
      </c>
      <c r="N162" s="17" t="str">
        <f aca="false">IF(A162="","",N(D162)+N(G162)-N(J162)-N(L162))</f>
        <v/>
      </c>
      <c r="O162" s="16" t="str">
        <f aca="false">IF(A162="","",ROUND(N(F162)+N(H162)-N(K162)-N(M162),2))</f>
        <v/>
      </c>
    </row>
    <row r="163" customFormat="false" ht="15" hidden="false" customHeight="false" outlineLevel="0" collapsed="false">
      <c r="A163" s="13"/>
      <c r="B163" s="14"/>
      <c r="C163" s="14"/>
      <c r="D163" s="14"/>
      <c r="E163" s="15"/>
      <c r="F163" s="16" t="str">
        <f aca="false">IF(D163="","",D163*E163)</f>
        <v/>
      </c>
      <c r="G163" s="14"/>
      <c r="H163" s="15"/>
      <c r="I163" s="16" t="str">
        <f aca="false">IF(A163="","",IFERROR((N(F163)+N(H163))/(N(D163)+N(G163)),0))</f>
        <v/>
      </c>
      <c r="J163" s="14"/>
      <c r="K163" s="16" t="str">
        <f aca="false">IF(A163="","",ROUND(N(J163)*I163,2))</f>
        <v/>
      </c>
      <c r="L163" s="14"/>
      <c r="M163" s="16" t="str">
        <f aca="false">IF(A163="","",ROUND(N(L163)*I163,2))</f>
        <v/>
      </c>
      <c r="N163" s="17" t="str">
        <f aca="false">IF(A163="","",N(D163)+N(G163)-N(J163)-N(L163))</f>
        <v/>
      </c>
      <c r="O163" s="16" t="str">
        <f aca="false">IF(A163="","",ROUND(N(F163)+N(H163)-N(K163)-N(M163),2))</f>
        <v/>
      </c>
    </row>
    <row r="164" customFormat="false" ht="15" hidden="false" customHeight="false" outlineLevel="0" collapsed="false">
      <c r="A164" s="13"/>
      <c r="B164" s="14"/>
      <c r="C164" s="14"/>
      <c r="D164" s="14"/>
      <c r="E164" s="15"/>
      <c r="F164" s="16" t="str">
        <f aca="false">IF(D164="","",D164*E164)</f>
        <v/>
      </c>
      <c r="G164" s="14"/>
      <c r="H164" s="15"/>
      <c r="I164" s="16" t="str">
        <f aca="false">IF(A164="","",IFERROR((N(F164)+N(H164))/(N(D164)+N(G164)),0))</f>
        <v/>
      </c>
      <c r="J164" s="14"/>
      <c r="K164" s="16" t="str">
        <f aca="false">IF(A164="","",ROUND(N(J164)*I164,2))</f>
        <v/>
      </c>
      <c r="L164" s="14"/>
      <c r="M164" s="16" t="str">
        <f aca="false">IF(A164="","",ROUND(N(L164)*I164,2))</f>
        <v/>
      </c>
      <c r="N164" s="17" t="str">
        <f aca="false">IF(A164="","",N(D164)+N(G164)-N(J164)-N(L164))</f>
        <v/>
      </c>
      <c r="O164" s="16" t="str">
        <f aca="false">IF(A164="","",ROUND(N(F164)+N(H164)-N(K164)-N(M164),2))</f>
        <v/>
      </c>
    </row>
    <row r="165" customFormat="false" ht="15" hidden="false" customHeight="false" outlineLevel="0" collapsed="false">
      <c r="A165" s="13"/>
      <c r="B165" s="14"/>
      <c r="C165" s="14"/>
      <c r="D165" s="14"/>
      <c r="E165" s="15"/>
      <c r="F165" s="16" t="str">
        <f aca="false">IF(D165="","",D165*E165)</f>
        <v/>
      </c>
      <c r="G165" s="14"/>
      <c r="H165" s="15"/>
      <c r="I165" s="16" t="str">
        <f aca="false">IF(A165="","",IFERROR((N(F165)+N(H165))/(N(D165)+N(G165)),0))</f>
        <v/>
      </c>
      <c r="J165" s="14"/>
      <c r="K165" s="16" t="str">
        <f aca="false">IF(A165="","",ROUND(N(J165)*I165,2))</f>
        <v/>
      </c>
      <c r="L165" s="14"/>
      <c r="M165" s="16" t="str">
        <f aca="false">IF(A165="","",ROUND(N(L165)*I165,2))</f>
        <v/>
      </c>
      <c r="N165" s="17" t="str">
        <f aca="false">IF(A165="","",N(D165)+N(G165)-N(J165)-N(L165))</f>
        <v/>
      </c>
      <c r="O165" s="16" t="str">
        <f aca="false">IF(A165="","",ROUND(N(F165)+N(H165)-N(K165)-N(M165),2))</f>
        <v/>
      </c>
    </row>
    <row r="166" customFormat="false" ht="15" hidden="false" customHeight="false" outlineLevel="0" collapsed="false">
      <c r="A166" s="13"/>
      <c r="B166" s="14"/>
      <c r="C166" s="14"/>
      <c r="D166" s="14"/>
      <c r="E166" s="15"/>
      <c r="F166" s="16" t="str">
        <f aca="false">IF(D166="","",D166*E166)</f>
        <v/>
      </c>
      <c r="G166" s="14"/>
      <c r="H166" s="15"/>
      <c r="I166" s="16" t="str">
        <f aca="false">IF(A166="","",IFERROR((N(F166)+N(H166))/(N(D166)+N(G166)),0))</f>
        <v/>
      </c>
      <c r="J166" s="14"/>
      <c r="K166" s="16" t="str">
        <f aca="false">IF(A166="","",ROUND(N(J166)*I166,2))</f>
        <v/>
      </c>
      <c r="L166" s="14"/>
      <c r="M166" s="16" t="str">
        <f aca="false">IF(A166="","",ROUND(N(L166)*I166,2))</f>
        <v/>
      </c>
      <c r="N166" s="17" t="str">
        <f aca="false">IF(A166="","",N(D166)+N(G166)-N(J166)-N(L166))</f>
        <v/>
      </c>
      <c r="O166" s="16" t="str">
        <f aca="false">IF(A166="","",ROUND(N(F166)+N(H166)-N(K166)-N(M166),2))</f>
        <v/>
      </c>
    </row>
    <row r="167" customFormat="false" ht="15" hidden="false" customHeight="false" outlineLevel="0" collapsed="false">
      <c r="A167" s="13"/>
      <c r="B167" s="14"/>
      <c r="C167" s="14"/>
      <c r="D167" s="14"/>
      <c r="E167" s="15"/>
      <c r="F167" s="16" t="str">
        <f aca="false">IF(D167="","",D167*E167)</f>
        <v/>
      </c>
      <c r="G167" s="14"/>
      <c r="H167" s="15"/>
      <c r="I167" s="16" t="str">
        <f aca="false">IF(A167="","",IFERROR((N(F167)+N(H167))/(N(D167)+N(G167)),0))</f>
        <v/>
      </c>
      <c r="J167" s="14"/>
      <c r="K167" s="16" t="str">
        <f aca="false">IF(A167="","",ROUND(N(J167)*I167,2))</f>
        <v/>
      </c>
      <c r="L167" s="14"/>
      <c r="M167" s="16" t="str">
        <f aca="false">IF(A167="","",ROUND(N(L167)*I167,2))</f>
        <v/>
      </c>
      <c r="N167" s="17" t="str">
        <f aca="false">IF(A167="","",N(D167)+N(G167)-N(J167)-N(L167))</f>
        <v/>
      </c>
      <c r="O167" s="16" t="str">
        <f aca="false">IF(A167="","",ROUND(N(F167)+N(H167)-N(K167)-N(M167),2))</f>
        <v/>
      </c>
    </row>
    <row r="168" customFormat="false" ht="15" hidden="false" customHeight="false" outlineLevel="0" collapsed="false">
      <c r="A168" s="13"/>
      <c r="B168" s="14"/>
      <c r="C168" s="14"/>
      <c r="D168" s="14"/>
      <c r="E168" s="15"/>
      <c r="F168" s="16" t="str">
        <f aca="false">IF(D168="","",D168*E168)</f>
        <v/>
      </c>
      <c r="G168" s="14"/>
      <c r="H168" s="15"/>
      <c r="I168" s="16" t="str">
        <f aca="false">IF(A168="","",IFERROR((N(F168)+N(H168))/(N(D168)+N(G168)),0))</f>
        <v/>
      </c>
      <c r="J168" s="14"/>
      <c r="K168" s="16" t="str">
        <f aca="false">IF(A168="","",ROUND(N(J168)*I168,2))</f>
        <v/>
      </c>
      <c r="L168" s="14"/>
      <c r="M168" s="16" t="str">
        <f aca="false">IF(A168="","",ROUND(N(L168)*I168,2))</f>
        <v/>
      </c>
      <c r="N168" s="17" t="str">
        <f aca="false">IF(A168="","",N(D168)+N(G168)-N(J168)-N(L168))</f>
        <v/>
      </c>
      <c r="O168" s="16" t="str">
        <f aca="false">IF(A168="","",ROUND(N(F168)+N(H168)-N(K168)-N(M168),2))</f>
        <v/>
      </c>
    </row>
    <row r="169" customFormat="false" ht="15" hidden="false" customHeight="false" outlineLevel="0" collapsed="false">
      <c r="A169" s="13"/>
      <c r="B169" s="14"/>
      <c r="C169" s="14"/>
      <c r="D169" s="14"/>
      <c r="E169" s="15"/>
      <c r="F169" s="16" t="str">
        <f aca="false">IF(D169="","",D169*E169)</f>
        <v/>
      </c>
      <c r="G169" s="14"/>
      <c r="H169" s="15"/>
      <c r="I169" s="16" t="str">
        <f aca="false">IF(A169="","",IFERROR((N(F169)+N(H169))/(N(D169)+N(G169)),0))</f>
        <v/>
      </c>
      <c r="J169" s="14"/>
      <c r="K169" s="16" t="str">
        <f aca="false">IF(A169="","",ROUND(N(J169)*I169,2))</f>
        <v/>
      </c>
      <c r="L169" s="14"/>
      <c r="M169" s="16" t="str">
        <f aca="false">IF(A169="","",ROUND(N(L169)*I169,2))</f>
        <v/>
      </c>
      <c r="N169" s="17" t="str">
        <f aca="false">IF(A169="","",N(D169)+N(G169)-N(J169)-N(L169))</f>
        <v/>
      </c>
      <c r="O169" s="16" t="str">
        <f aca="false">IF(A169="","",ROUND(N(F169)+N(H169)-N(K169)-N(M169),2))</f>
        <v/>
      </c>
    </row>
    <row r="170" customFormat="false" ht="15" hidden="false" customHeight="false" outlineLevel="0" collapsed="false">
      <c r="A170" s="13"/>
      <c r="B170" s="14"/>
      <c r="C170" s="14"/>
      <c r="D170" s="14"/>
      <c r="E170" s="15"/>
      <c r="F170" s="16" t="str">
        <f aca="false">IF(D170="","",D170*E170)</f>
        <v/>
      </c>
      <c r="G170" s="14"/>
      <c r="H170" s="15"/>
      <c r="I170" s="16" t="str">
        <f aca="false">IF(A170="","",IFERROR((N(F170)+N(H170))/(N(D170)+N(G170)),0))</f>
        <v/>
      </c>
      <c r="J170" s="14"/>
      <c r="K170" s="16" t="str">
        <f aca="false">IF(A170="","",ROUND(N(J170)*I170,2))</f>
        <v/>
      </c>
      <c r="L170" s="14"/>
      <c r="M170" s="16" t="str">
        <f aca="false">IF(A170="","",ROUND(N(L170)*I170,2))</f>
        <v/>
      </c>
      <c r="N170" s="17" t="str">
        <f aca="false">IF(A170="","",N(D170)+N(G170)-N(J170)-N(L170))</f>
        <v/>
      </c>
      <c r="O170" s="16" t="str">
        <f aca="false">IF(A170="","",ROUND(N(F170)+N(H170)-N(K170)-N(M170),2))</f>
        <v/>
      </c>
    </row>
    <row r="171" customFormat="false" ht="15" hidden="false" customHeight="false" outlineLevel="0" collapsed="false">
      <c r="A171" s="13"/>
      <c r="B171" s="14"/>
      <c r="C171" s="14"/>
      <c r="D171" s="14"/>
      <c r="E171" s="15"/>
      <c r="F171" s="16" t="str">
        <f aca="false">IF(D171="","",D171*E171)</f>
        <v/>
      </c>
      <c r="G171" s="14"/>
      <c r="H171" s="15"/>
      <c r="I171" s="16" t="str">
        <f aca="false">IF(A171="","",IFERROR((N(F171)+N(H171))/(N(D171)+N(G171)),0))</f>
        <v/>
      </c>
      <c r="J171" s="14"/>
      <c r="K171" s="16" t="str">
        <f aca="false">IF(A171="","",ROUND(N(J171)*I171,2))</f>
        <v/>
      </c>
      <c r="L171" s="14"/>
      <c r="M171" s="16" t="str">
        <f aca="false">IF(A171="","",ROUND(N(L171)*I171,2))</f>
        <v/>
      </c>
      <c r="N171" s="17" t="str">
        <f aca="false">IF(A171="","",N(D171)+N(G171)-N(J171)-N(L171))</f>
        <v/>
      </c>
      <c r="O171" s="16" t="str">
        <f aca="false">IF(A171="","",ROUND(N(F171)+N(H171)-N(K171)-N(M171),2))</f>
        <v/>
      </c>
    </row>
    <row r="172" customFormat="false" ht="15" hidden="false" customHeight="false" outlineLevel="0" collapsed="false">
      <c r="A172" s="13"/>
      <c r="B172" s="14"/>
      <c r="C172" s="14"/>
      <c r="D172" s="14"/>
      <c r="E172" s="15"/>
      <c r="F172" s="16" t="str">
        <f aca="false">IF(D172="","",D172*E172)</f>
        <v/>
      </c>
      <c r="G172" s="14"/>
      <c r="H172" s="15"/>
      <c r="I172" s="16" t="str">
        <f aca="false">IF(A172="","",IFERROR((N(F172)+N(H172))/(N(D172)+N(G172)),0))</f>
        <v/>
      </c>
      <c r="J172" s="14"/>
      <c r="K172" s="16" t="str">
        <f aca="false">IF(A172="","",ROUND(N(J172)*I172,2))</f>
        <v/>
      </c>
      <c r="L172" s="14"/>
      <c r="M172" s="16" t="str">
        <f aca="false">IF(A172="","",ROUND(N(L172)*I172,2))</f>
        <v/>
      </c>
      <c r="N172" s="17" t="str">
        <f aca="false">IF(A172="","",N(D172)+N(G172)-N(J172)-N(L172))</f>
        <v/>
      </c>
      <c r="O172" s="16" t="str">
        <f aca="false">IF(A172="","",ROUND(N(F172)+N(H172)-N(K172)-N(M172),2))</f>
        <v/>
      </c>
    </row>
    <row r="173" customFormat="false" ht="15" hidden="false" customHeight="false" outlineLevel="0" collapsed="false">
      <c r="A173" s="13"/>
      <c r="B173" s="14"/>
      <c r="C173" s="14"/>
      <c r="D173" s="14"/>
      <c r="E173" s="15"/>
      <c r="F173" s="16" t="str">
        <f aca="false">IF(D173="","",D173*E173)</f>
        <v/>
      </c>
      <c r="G173" s="14"/>
      <c r="H173" s="15"/>
      <c r="I173" s="16" t="str">
        <f aca="false">IF(A173="","",IFERROR((N(F173)+N(H173))/(N(D173)+N(G173)),0))</f>
        <v/>
      </c>
      <c r="J173" s="14"/>
      <c r="K173" s="16" t="str">
        <f aca="false">IF(A173="","",ROUND(N(J173)*I173,2))</f>
        <v/>
      </c>
      <c r="L173" s="14"/>
      <c r="M173" s="16" t="str">
        <f aca="false">IF(A173="","",ROUND(N(L173)*I173,2))</f>
        <v/>
      </c>
      <c r="N173" s="17" t="str">
        <f aca="false">IF(A173="","",N(D173)+N(G173)-N(J173)-N(L173))</f>
        <v/>
      </c>
      <c r="O173" s="16" t="str">
        <f aca="false">IF(A173="","",ROUND(N(F173)+N(H173)-N(K173)-N(M173),2))</f>
        <v/>
      </c>
    </row>
    <row r="174" customFormat="false" ht="15" hidden="false" customHeight="false" outlineLevel="0" collapsed="false">
      <c r="A174" s="13"/>
      <c r="B174" s="14"/>
      <c r="C174" s="14"/>
      <c r="D174" s="14"/>
      <c r="E174" s="15"/>
      <c r="F174" s="16" t="str">
        <f aca="false">IF(D174="","",D174*E174)</f>
        <v/>
      </c>
      <c r="G174" s="14"/>
      <c r="H174" s="15"/>
      <c r="I174" s="16" t="str">
        <f aca="false">IF(A174="","",IFERROR((N(F174)+N(H174))/(N(D174)+N(G174)),0))</f>
        <v/>
      </c>
      <c r="J174" s="14"/>
      <c r="K174" s="16" t="str">
        <f aca="false">IF(A174="","",ROUND(N(J174)*I174,2))</f>
        <v/>
      </c>
      <c r="L174" s="14"/>
      <c r="M174" s="16" t="str">
        <f aca="false">IF(A174="","",ROUND(N(L174)*I174,2))</f>
        <v/>
      </c>
      <c r="N174" s="17" t="str">
        <f aca="false">IF(A174="","",N(D174)+N(G174)-N(J174)-N(L174))</f>
        <v/>
      </c>
      <c r="O174" s="16" t="str">
        <f aca="false">IF(A174="","",ROUND(N(F174)+N(H174)-N(K174)-N(M174),2))</f>
        <v/>
      </c>
    </row>
    <row r="175" customFormat="false" ht="15" hidden="false" customHeight="false" outlineLevel="0" collapsed="false">
      <c r="A175" s="13"/>
      <c r="B175" s="14"/>
      <c r="C175" s="14"/>
      <c r="D175" s="14"/>
      <c r="E175" s="15"/>
      <c r="F175" s="16" t="str">
        <f aca="false">IF(D175="","",D175*E175)</f>
        <v/>
      </c>
      <c r="G175" s="14"/>
      <c r="H175" s="15"/>
      <c r="I175" s="16" t="str">
        <f aca="false">IF(A175="","",IFERROR((N(F175)+N(H175))/(N(D175)+N(G175)),0))</f>
        <v/>
      </c>
      <c r="J175" s="14"/>
      <c r="K175" s="16" t="str">
        <f aca="false">IF(A175="","",ROUND(N(J175)*I175,2))</f>
        <v/>
      </c>
      <c r="L175" s="14"/>
      <c r="M175" s="16" t="str">
        <f aca="false">IF(A175="","",ROUND(N(L175)*I175,2))</f>
        <v/>
      </c>
      <c r="N175" s="17" t="str">
        <f aca="false">IF(A175="","",N(D175)+N(G175)-N(J175)-N(L175))</f>
        <v/>
      </c>
      <c r="O175" s="16" t="str">
        <f aca="false">IF(A175="","",ROUND(N(F175)+N(H175)-N(K175)-N(M175),2))</f>
        <v/>
      </c>
    </row>
    <row r="176" customFormat="false" ht="15" hidden="false" customHeight="false" outlineLevel="0" collapsed="false">
      <c r="A176" s="13"/>
      <c r="B176" s="14"/>
      <c r="C176" s="14"/>
      <c r="D176" s="14"/>
      <c r="E176" s="15"/>
      <c r="F176" s="16" t="str">
        <f aca="false">IF(D176="","",D176*E176)</f>
        <v/>
      </c>
      <c r="G176" s="14"/>
      <c r="H176" s="15"/>
      <c r="I176" s="16" t="str">
        <f aca="false">IF(A176="","",IFERROR((N(F176)+N(H176))/(N(D176)+N(G176)),0))</f>
        <v/>
      </c>
      <c r="J176" s="14"/>
      <c r="K176" s="16" t="str">
        <f aca="false">IF(A176="","",ROUND(N(J176)*I176,2))</f>
        <v/>
      </c>
      <c r="L176" s="14"/>
      <c r="M176" s="16" t="str">
        <f aca="false">IF(A176="","",ROUND(N(L176)*I176,2))</f>
        <v/>
      </c>
      <c r="N176" s="17" t="str">
        <f aca="false">IF(A176="","",N(D176)+N(G176)-N(J176)-N(L176))</f>
        <v/>
      </c>
      <c r="O176" s="16" t="str">
        <f aca="false">IF(A176="","",ROUND(N(F176)+N(H176)-N(K176)-N(M176),2))</f>
        <v/>
      </c>
    </row>
    <row r="177" customFormat="false" ht="15" hidden="false" customHeight="false" outlineLevel="0" collapsed="false">
      <c r="A177" s="13"/>
      <c r="B177" s="14"/>
      <c r="C177" s="14"/>
      <c r="D177" s="14"/>
      <c r="E177" s="15"/>
      <c r="F177" s="16" t="str">
        <f aca="false">IF(D177="","",D177*E177)</f>
        <v/>
      </c>
      <c r="G177" s="14"/>
      <c r="H177" s="15"/>
      <c r="I177" s="16" t="str">
        <f aca="false">IF(A177="","",IFERROR((N(F177)+N(H177))/(N(D177)+N(G177)),0))</f>
        <v/>
      </c>
      <c r="J177" s="14"/>
      <c r="K177" s="16" t="str">
        <f aca="false">IF(A177="","",ROUND(N(J177)*I177,2))</f>
        <v/>
      </c>
      <c r="L177" s="14"/>
      <c r="M177" s="16" t="str">
        <f aca="false">IF(A177="","",ROUND(N(L177)*I177,2))</f>
        <v/>
      </c>
      <c r="N177" s="17" t="str">
        <f aca="false">IF(A177="","",N(D177)+N(G177)-N(J177)-N(L177))</f>
        <v/>
      </c>
      <c r="O177" s="16" t="str">
        <f aca="false">IF(A177="","",ROUND(N(F177)+N(H177)-N(K177)-N(M177),2))</f>
        <v/>
      </c>
    </row>
    <row r="178" customFormat="false" ht="15" hidden="false" customHeight="false" outlineLevel="0" collapsed="false">
      <c r="A178" s="13"/>
      <c r="B178" s="14"/>
      <c r="C178" s="14"/>
      <c r="D178" s="14"/>
      <c r="E178" s="15"/>
      <c r="F178" s="16" t="str">
        <f aca="false">IF(D178="","",D178*E178)</f>
        <v/>
      </c>
      <c r="G178" s="14"/>
      <c r="H178" s="15"/>
      <c r="I178" s="16" t="str">
        <f aca="false">IF(A178="","",IFERROR((N(F178)+N(H178))/(N(D178)+N(G178)),0))</f>
        <v/>
      </c>
      <c r="J178" s="14"/>
      <c r="K178" s="16" t="str">
        <f aca="false">IF(A178="","",ROUND(N(J178)*I178,2))</f>
        <v/>
      </c>
      <c r="L178" s="14"/>
      <c r="M178" s="16" t="str">
        <f aca="false">IF(A178="","",ROUND(N(L178)*I178,2))</f>
        <v/>
      </c>
      <c r="N178" s="17" t="str">
        <f aca="false">IF(A178="","",N(D178)+N(G178)-N(J178)-N(L178))</f>
        <v/>
      </c>
      <c r="O178" s="16" t="str">
        <f aca="false">IF(A178="","",ROUND(N(F178)+N(H178)-N(K178)-N(M178),2))</f>
        <v/>
      </c>
    </row>
    <row r="179" customFormat="false" ht="15" hidden="false" customHeight="false" outlineLevel="0" collapsed="false">
      <c r="A179" s="13"/>
      <c r="B179" s="14"/>
      <c r="C179" s="14"/>
      <c r="D179" s="14"/>
      <c r="E179" s="15"/>
      <c r="F179" s="16" t="str">
        <f aca="false">IF(D179="","",D179*E179)</f>
        <v/>
      </c>
      <c r="G179" s="14"/>
      <c r="H179" s="15"/>
      <c r="I179" s="16" t="str">
        <f aca="false">IF(A179="","",IFERROR((N(F179)+N(H179))/(N(D179)+N(G179)),0))</f>
        <v/>
      </c>
      <c r="J179" s="14"/>
      <c r="K179" s="16" t="str">
        <f aca="false">IF(A179="","",ROUND(N(J179)*I179,2))</f>
        <v/>
      </c>
      <c r="L179" s="14"/>
      <c r="M179" s="16" t="str">
        <f aca="false">IF(A179="","",ROUND(N(L179)*I179,2))</f>
        <v/>
      </c>
      <c r="N179" s="17" t="str">
        <f aca="false">IF(A179="","",N(D179)+N(G179)-N(J179)-N(L179))</f>
        <v/>
      </c>
      <c r="O179" s="16" t="str">
        <f aca="false">IF(A179="","",ROUND(N(F179)+N(H179)-N(K179)-N(M179),2))</f>
        <v/>
      </c>
    </row>
    <row r="180" customFormat="false" ht="15" hidden="false" customHeight="false" outlineLevel="0" collapsed="false">
      <c r="A180" s="13"/>
      <c r="B180" s="14"/>
      <c r="C180" s="14"/>
      <c r="D180" s="14"/>
      <c r="E180" s="15"/>
      <c r="F180" s="16" t="str">
        <f aca="false">IF(D180="","",D180*E180)</f>
        <v/>
      </c>
      <c r="G180" s="14"/>
      <c r="H180" s="15"/>
      <c r="I180" s="16" t="str">
        <f aca="false">IF(A180="","",IFERROR((N(F180)+N(H180))/(N(D180)+N(G180)),0))</f>
        <v/>
      </c>
      <c r="J180" s="14"/>
      <c r="K180" s="16" t="str">
        <f aca="false">IF(A180="","",ROUND(N(J180)*I180,2))</f>
        <v/>
      </c>
      <c r="L180" s="14"/>
      <c r="M180" s="16" t="str">
        <f aca="false">IF(A180="","",ROUND(N(L180)*I180,2))</f>
        <v/>
      </c>
      <c r="N180" s="17" t="str">
        <f aca="false">IF(A180="","",N(D180)+N(G180)-N(J180)-N(L180))</f>
        <v/>
      </c>
      <c r="O180" s="16" t="str">
        <f aca="false">IF(A180="","",ROUND(N(F180)+N(H180)-N(K180)-N(M180),2))</f>
        <v/>
      </c>
    </row>
    <row r="181" customFormat="false" ht="15" hidden="false" customHeight="false" outlineLevel="0" collapsed="false">
      <c r="A181" s="13"/>
      <c r="B181" s="14"/>
      <c r="C181" s="14"/>
      <c r="D181" s="14"/>
      <c r="E181" s="15"/>
      <c r="F181" s="16" t="str">
        <f aca="false">IF(D181="","",D181*E181)</f>
        <v/>
      </c>
      <c r="G181" s="14"/>
      <c r="H181" s="15"/>
      <c r="I181" s="16" t="str">
        <f aca="false">IF(A181="","",IFERROR((N(F181)+N(H181))/(N(D181)+N(G181)),0))</f>
        <v/>
      </c>
      <c r="J181" s="14"/>
      <c r="K181" s="16" t="str">
        <f aca="false">IF(A181="","",ROUND(N(J181)*I181,2))</f>
        <v/>
      </c>
      <c r="L181" s="14"/>
      <c r="M181" s="16" t="str">
        <f aca="false">IF(A181="","",ROUND(N(L181)*I181,2))</f>
        <v/>
      </c>
      <c r="N181" s="17" t="str">
        <f aca="false">IF(A181="","",N(D181)+N(G181)-N(J181)-N(L181))</f>
        <v/>
      </c>
      <c r="O181" s="16" t="str">
        <f aca="false">IF(A181="","",ROUND(N(F181)+N(H181)-N(K181)-N(M181),2))</f>
        <v/>
      </c>
    </row>
    <row r="182" customFormat="false" ht="15" hidden="false" customHeight="false" outlineLevel="0" collapsed="false">
      <c r="A182" s="13"/>
      <c r="B182" s="14"/>
      <c r="C182" s="14"/>
      <c r="D182" s="14"/>
      <c r="E182" s="15"/>
      <c r="F182" s="16" t="str">
        <f aca="false">IF(D182="","",D182*E182)</f>
        <v/>
      </c>
      <c r="G182" s="14"/>
      <c r="H182" s="15"/>
      <c r="I182" s="16" t="str">
        <f aca="false">IF(A182="","",IFERROR((N(F182)+N(H182))/(N(D182)+N(G182)),0))</f>
        <v/>
      </c>
      <c r="J182" s="14"/>
      <c r="K182" s="16" t="str">
        <f aca="false">IF(A182="","",ROUND(N(J182)*I182,2))</f>
        <v/>
      </c>
      <c r="L182" s="14"/>
      <c r="M182" s="16" t="str">
        <f aca="false">IF(A182="","",ROUND(N(L182)*I182,2))</f>
        <v/>
      </c>
      <c r="N182" s="17" t="str">
        <f aca="false">IF(A182="","",N(D182)+N(G182)-N(J182)-N(L182))</f>
        <v/>
      </c>
      <c r="O182" s="16" t="str">
        <f aca="false">IF(A182="","",ROUND(N(F182)+N(H182)-N(K182)-N(M182),2))</f>
        <v/>
      </c>
    </row>
    <row r="183" customFormat="false" ht="15" hidden="false" customHeight="false" outlineLevel="0" collapsed="false">
      <c r="A183" s="13"/>
      <c r="B183" s="14"/>
      <c r="C183" s="14"/>
      <c r="D183" s="14"/>
      <c r="E183" s="15"/>
      <c r="F183" s="16" t="str">
        <f aca="false">IF(D183="","",D183*E183)</f>
        <v/>
      </c>
      <c r="G183" s="14"/>
      <c r="H183" s="15"/>
      <c r="I183" s="16" t="str">
        <f aca="false">IF(A183="","",IFERROR((N(F183)+N(H183))/(N(D183)+N(G183)),0))</f>
        <v/>
      </c>
      <c r="J183" s="14"/>
      <c r="K183" s="16" t="str">
        <f aca="false">IF(A183="","",ROUND(N(J183)*I183,2))</f>
        <v/>
      </c>
      <c r="L183" s="14"/>
      <c r="M183" s="16" t="str">
        <f aca="false">IF(A183="","",ROUND(N(L183)*I183,2))</f>
        <v/>
      </c>
      <c r="N183" s="17" t="str">
        <f aca="false">IF(A183="","",N(D183)+N(G183)-N(J183)-N(L183))</f>
        <v/>
      </c>
      <c r="O183" s="16" t="str">
        <f aca="false">IF(A183="","",ROUND(N(F183)+N(H183)-N(K183)-N(M183),2))</f>
        <v/>
      </c>
    </row>
    <row r="184" customFormat="false" ht="15" hidden="false" customHeight="false" outlineLevel="0" collapsed="false">
      <c r="A184" s="13"/>
      <c r="B184" s="14"/>
      <c r="C184" s="14"/>
      <c r="D184" s="14"/>
      <c r="E184" s="15"/>
      <c r="F184" s="16" t="str">
        <f aca="false">IF(D184="","",D184*E184)</f>
        <v/>
      </c>
      <c r="G184" s="14"/>
      <c r="H184" s="15"/>
      <c r="I184" s="16" t="str">
        <f aca="false">IF(A184="","",IFERROR((N(F184)+N(H184))/(N(D184)+N(G184)),0))</f>
        <v/>
      </c>
      <c r="J184" s="14"/>
      <c r="K184" s="16" t="str">
        <f aca="false">IF(A184="","",ROUND(N(J184)*I184,2))</f>
        <v/>
      </c>
      <c r="L184" s="14"/>
      <c r="M184" s="16" t="str">
        <f aca="false">IF(A184="","",ROUND(N(L184)*I184,2))</f>
        <v/>
      </c>
      <c r="N184" s="17" t="str">
        <f aca="false">IF(A184="","",N(D184)+N(G184)-N(J184)-N(L184))</f>
        <v/>
      </c>
      <c r="O184" s="16" t="str">
        <f aca="false">IF(A184="","",ROUND(N(F184)+N(H184)-N(K184)-N(M184),2))</f>
        <v/>
      </c>
    </row>
    <row r="185" customFormat="false" ht="15" hidden="false" customHeight="false" outlineLevel="0" collapsed="false">
      <c r="A185" s="13"/>
      <c r="B185" s="14"/>
      <c r="C185" s="14"/>
      <c r="D185" s="14"/>
      <c r="E185" s="15"/>
      <c r="F185" s="16" t="str">
        <f aca="false">IF(D185="","",D185*E185)</f>
        <v/>
      </c>
      <c r="G185" s="14"/>
      <c r="H185" s="15"/>
      <c r="I185" s="16" t="str">
        <f aca="false">IF(A185="","",IFERROR((N(F185)+N(H185))/(N(D185)+N(G185)),0))</f>
        <v/>
      </c>
      <c r="J185" s="14"/>
      <c r="K185" s="16" t="str">
        <f aca="false">IF(A185="","",ROUND(N(J185)*I185,2))</f>
        <v/>
      </c>
      <c r="L185" s="14"/>
      <c r="M185" s="16" t="str">
        <f aca="false">IF(A185="","",ROUND(N(L185)*I185,2))</f>
        <v/>
      </c>
      <c r="N185" s="17" t="str">
        <f aca="false">IF(A185="","",N(D185)+N(G185)-N(J185)-N(L185))</f>
        <v/>
      </c>
      <c r="O185" s="16" t="str">
        <f aca="false">IF(A185="","",ROUND(N(F185)+N(H185)-N(K185)-N(M185),2))</f>
        <v/>
      </c>
    </row>
    <row r="186" customFormat="false" ht="15" hidden="false" customHeight="false" outlineLevel="0" collapsed="false">
      <c r="A186" s="13"/>
      <c r="B186" s="14"/>
      <c r="C186" s="14"/>
      <c r="D186" s="14"/>
      <c r="E186" s="15"/>
      <c r="F186" s="16" t="str">
        <f aca="false">IF(D186="","",D186*E186)</f>
        <v/>
      </c>
      <c r="G186" s="14"/>
      <c r="H186" s="15"/>
      <c r="I186" s="16" t="str">
        <f aca="false">IF(A186="","",IFERROR((N(F186)+N(H186))/(N(D186)+N(G186)),0))</f>
        <v/>
      </c>
      <c r="J186" s="14"/>
      <c r="K186" s="16" t="str">
        <f aca="false">IF(A186="","",ROUND(N(J186)*I186,2))</f>
        <v/>
      </c>
      <c r="L186" s="14"/>
      <c r="M186" s="16" t="str">
        <f aca="false">IF(A186="","",ROUND(N(L186)*I186,2))</f>
        <v/>
      </c>
      <c r="N186" s="17" t="str">
        <f aca="false">IF(A186="","",N(D186)+N(G186)-N(J186)-N(L186))</f>
        <v/>
      </c>
      <c r="O186" s="16" t="str">
        <f aca="false">IF(A186="","",ROUND(N(F186)+N(H186)-N(K186)-N(M186),2))</f>
        <v/>
      </c>
    </row>
    <row r="187" customFormat="false" ht="15" hidden="false" customHeight="false" outlineLevel="0" collapsed="false">
      <c r="A187" s="13"/>
      <c r="B187" s="14"/>
      <c r="C187" s="14"/>
      <c r="D187" s="14"/>
      <c r="E187" s="15"/>
      <c r="F187" s="16" t="str">
        <f aca="false">IF(D187="","",D187*E187)</f>
        <v/>
      </c>
      <c r="G187" s="14"/>
      <c r="H187" s="15"/>
      <c r="I187" s="16" t="str">
        <f aca="false">IF(A187="","",IFERROR((N(F187)+N(H187))/(N(D187)+N(G187)),0))</f>
        <v/>
      </c>
      <c r="J187" s="14"/>
      <c r="K187" s="16" t="str">
        <f aca="false">IF(A187="","",ROUND(N(J187)*I187,2))</f>
        <v/>
      </c>
      <c r="L187" s="14"/>
      <c r="M187" s="16" t="str">
        <f aca="false">IF(A187="","",ROUND(N(L187)*I187,2))</f>
        <v/>
      </c>
      <c r="N187" s="17" t="str">
        <f aca="false">IF(A187="","",N(D187)+N(G187)-N(J187)-N(L187))</f>
        <v/>
      </c>
      <c r="O187" s="16" t="str">
        <f aca="false">IF(A187="","",ROUND(N(F187)+N(H187)-N(K187)-N(M187),2))</f>
        <v/>
      </c>
    </row>
    <row r="188" customFormat="false" ht="15" hidden="false" customHeight="false" outlineLevel="0" collapsed="false">
      <c r="A188" s="13"/>
      <c r="B188" s="14"/>
      <c r="C188" s="14"/>
      <c r="D188" s="14"/>
      <c r="E188" s="15"/>
      <c r="F188" s="16" t="str">
        <f aca="false">IF(D188="","",D188*E188)</f>
        <v/>
      </c>
      <c r="G188" s="14"/>
      <c r="H188" s="15"/>
      <c r="I188" s="16" t="str">
        <f aca="false">IF(A188="","",IFERROR((N(F188)+N(H188))/(N(D188)+N(G188)),0))</f>
        <v/>
      </c>
      <c r="J188" s="14"/>
      <c r="K188" s="16" t="str">
        <f aca="false">IF(A188="","",ROUND(N(J188)*I188,2))</f>
        <v/>
      </c>
      <c r="L188" s="14"/>
      <c r="M188" s="16" t="str">
        <f aca="false">IF(A188="","",ROUND(N(L188)*I188,2))</f>
        <v/>
      </c>
      <c r="N188" s="17" t="str">
        <f aca="false">IF(A188="","",N(D188)+N(G188)-N(J188)-N(L188))</f>
        <v/>
      </c>
      <c r="O188" s="16" t="str">
        <f aca="false">IF(A188="","",ROUND(N(F188)+N(H188)-N(K188)-N(M188),2))</f>
        <v/>
      </c>
    </row>
    <row r="189" customFormat="false" ht="15" hidden="false" customHeight="false" outlineLevel="0" collapsed="false">
      <c r="A189" s="13"/>
      <c r="B189" s="14"/>
      <c r="C189" s="14"/>
      <c r="D189" s="14"/>
      <c r="E189" s="15"/>
      <c r="F189" s="16" t="str">
        <f aca="false">IF(D189="","",D189*E189)</f>
        <v/>
      </c>
      <c r="G189" s="14"/>
      <c r="H189" s="15"/>
      <c r="I189" s="16" t="str">
        <f aca="false">IF(A189="","",IFERROR((N(F189)+N(H189))/(N(D189)+N(G189)),0))</f>
        <v/>
      </c>
      <c r="J189" s="14"/>
      <c r="K189" s="16" t="str">
        <f aca="false">IF(A189="","",ROUND(N(J189)*I189,2))</f>
        <v/>
      </c>
      <c r="L189" s="14"/>
      <c r="M189" s="16" t="str">
        <f aca="false">IF(A189="","",ROUND(N(L189)*I189,2))</f>
        <v/>
      </c>
      <c r="N189" s="17" t="str">
        <f aca="false">IF(A189="","",N(D189)+N(G189)-N(J189)-N(L189))</f>
        <v/>
      </c>
      <c r="O189" s="16" t="str">
        <f aca="false">IF(A189="","",ROUND(N(F189)+N(H189)-N(K189)-N(M189),2))</f>
        <v/>
      </c>
    </row>
    <row r="190" customFormat="false" ht="15" hidden="false" customHeight="false" outlineLevel="0" collapsed="false">
      <c r="A190" s="13"/>
      <c r="B190" s="14"/>
      <c r="C190" s="14"/>
      <c r="D190" s="14"/>
      <c r="E190" s="15"/>
      <c r="F190" s="16" t="str">
        <f aca="false">IF(D190="","",D190*E190)</f>
        <v/>
      </c>
      <c r="G190" s="14"/>
      <c r="H190" s="15"/>
      <c r="I190" s="16" t="str">
        <f aca="false">IF(A190="","",IFERROR((N(F190)+N(H190))/(N(D190)+N(G190)),0))</f>
        <v/>
      </c>
      <c r="J190" s="14"/>
      <c r="K190" s="16" t="str">
        <f aca="false">IF(A190="","",ROUND(N(J190)*I190,2))</f>
        <v/>
      </c>
      <c r="L190" s="14"/>
      <c r="M190" s="16" t="str">
        <f aca="false">IF(A190="","",ROUND(N(L190)*I190,2))</f>
        <v/>
      </c>
      <c r="N190" s="17" t="str">
        <f aca="false">IF(A190="","",N(D190)+N(G190)-N(J190)-N(L190))</f>
        <v/>
      </c>
      <c r="O190" s="16" t="str">
        <f aca="false">IF(A190="","",ROUND(N(F190)+N(H190)-N(K190)-N(M190),2))</f>
        <v/>
      </c>
    </row>
    <row r="191" customFormat="false" ht="15" hidden="false" customHeight="false" outlineLevel="0" collapsed="false">
      <c r="A191" s="13"/>
      <c r="B191" s="14"/>
      <c r="C191" s="14"/>
      <c r="D191" s="14"/>
      <c r="E191" s="15"/>
      <c r="F191" s="16" t="str">
        <f aca="false">IF(D191="","",D191*E191)</f>
        <v/>
      </c>
      <c r="G191" s="14"/>
      <c r="H191" s="15"/>
      <c r="I191" s="16" t="str">
        <f aca="false">IF(A191="","",IFERROR((N(F191)+N(H191))/(N(D191)+N(G191)),0))</f>
        <v/>
      </c>
      <c r="J191" s="14"/>
      <c r="K191" s="16" t="str">
        <f aca="false">IF(A191="","",ROUND(N(J191)*I191,2))</f>
        <v/>
      </c>
      <c r="L191" s="14"/>
      <c r="M191" s="16" t="str">
        <f aca="false">IF(A191="","",ROUND(N(L191)*I191,2))</f>
        <v/>
      </c>
      <c r="N191" s="17" t="str">
        <f aca="false">IF(A191="","",N(D191)+N(G191)-N(J191)-N(L191))</f>
        <v/>
      </c>
      <c r="O191" s="16" t="str">
        <f aca="false">IF(A191="","",ROUND(N(F191)+N(H191)-N(K191)-N(M191),2))</f>
        <v/>
      </c>
    </row>
    <row r="192" customFormat="false" ht="15" hidden="false" customHeight="false" outlineLevel="0" collapsed="false">
      <c r="A192" s="13"/>
      <c r="B192" s="14"/>
      <c r="C192" s="14"/>
      <c r="D192" s="14"/>
      <c r="E192" s="15"/>
      <c r="F192" s="16" t="str">
        <f aca="false">IF(D192="","",D192*E192)</f>
        <v/>
      </c>
      <c r="G192" s="14"/>
      <c r="H192" s="15"/>
      <c r="I192" s="16" t="str">
        <f aca="false">IF(A192="","",IFERROR((N(F192)+N(H192))/(N(D192)+N(G192)),0))</f>
        <v/>
      </c>
      <c r="J192" s="14"/>
      <c r="K192" s="16" t="str">
        <f aca="false">IF(A192="","",ROUND(N(J192)*I192,2))</f>
        <v/>
      </c>
      <c r="L192" s="14"/>
      <c r="M192" s="16" t="str">
        <f aca="false">IF(A192="","",ROUND(N(L192)*I192,2))</f>
        <v/>
      </c>
      <c r="N192" s="17" t="str">
        <f aca="false">IF(A192="","",N(D192)+N(G192)-N(J192)-N(L192))</f>
        <v/>
      </c>
      <c r="O192" s="16" t="str">
        <f aca="false">IF(A192="","",ROUND(N(F192)+N(H192)-N(K192)-N(M192),2))</f>
        <v/>
      </c>
    </row>
    <row r="193" customFormat="false" ht="15" hidden="false" customHeight="false" outlineLevel="0" collapsed="false">
      <c r="A193" s="13"/>
      <c r="B193" s="14"/>
      <c r="C193" s="14"/>
      <c r="D193" s="14"/>
      <c r="E193" s="15"/>
      <c r="F193" s="16" t="str">
        <f aca="false">IF(D193="","",D193*E193)</f>
        <v/>
      </c>
      <c r="G193" s="14"/>
      <c r="H193" s="15"/>
      <c r="I193" s="16" t="str">
        <f aca="false">IF(A193="","",IFERROR((N(F193)+N(H193))/(N(D193)+N(G193)),0))</f>
        <v/>
      </c>
      <c r="J193" s="14"/>
      <c r="K193" s="16" t="str">
        <f aca="false">IF(A193="","",ROUND(N(J193)*I193,2))</f>
        <v/>
      </c>
      <c r="L193" s="14"/>
      <c r="M193" s="16" t="str">
        <f aca="false">IF(A193="","",ROUND(N(L193)*I193,2))</f>
        <v/>
      </c>
      <c r="N193" s="17" t="str">
        <f aca="false">IF(A193="","",N(D193)+N(G193)-N(J193)-N(L193))</f>
        <v/>
      </c>
      <c r="O193" s="16" t="str">
        <f aca="false">IF(A193="","",ROUND(N(F193)+N(H193)-N(K193)-N(M193),2))</f>
        <v/>
      </c>
    </row>
    <row r="194" customFormat="false" ht="15" hidden="false" customHeight="false" outlineLevel="0" collapsed="false">
      <c r="A194" s="13"/>
      <c r="B194" s="14"/>
      <c r="C194" s="14"/>
      <c r="D194" s="14"/>
      <c r="E194" s="15"/>
      <c r="F194" s="16" t="str">
        <f aca="false">IF(D194="","",D194*E194)</f>
        <v/>
      </c>
      <c r="G194" s="14"/>
      <c r="H194" s="15"/>
      <c r="I194" s="16" t="str">
        <f aca="false">IF(A194="","",IFERROR((N(F194)+N(H194))/(N(D194)+N(G194)),0))</f>
        <v/>
      </c>
      <c r="J194" s="14"/>
      <c r="K194" s="16" t="str">
        <f aca="false">IF(A194="","",ROUND(N(J194)*I194,2))</f>
        <v/>
      </c>
      <c r="L194" s="14"/>
      <c r="M194" s="16" t="str">
        <f aca="false">IF(A194="","",ROUND(N(L194)*I194,2))</f>
        <v/>
      </c>
      <c r="N194" s="17" t="str">
        <f aca="false">IF(A194="","",N(D194)+N(G194)-N(J194)-N(L194))</f>
        <v/>
      </c>
      <c r="O194" s="16" t="str">
        <f aca="false">IF(A194="","",ROUND(N(F194)+N(H194)-N(K194)-N(M194),2))</f>
        <v/>
      </c>
    </row>
    <row r="195" customFormat="false" ht="15" hidden="false" customHeight="false" outlineLevel="0" collapsed="false">
      <c r="A195" s="13"/>
      <c r="B195" s="14"/>
      <c r="C195" s="14"/>
      <c r="D195" s="14"/>
      <c r="E195" s="15"/>
      <c r="F195" s="16" t="str">
        <f aca="false">IF(D195="","",D195*E195)</f>
        <v/>
      </c>
      <c r="G195" s="14"/>
      <c r="H195" s="15"/>
      <c r="I195" s="16" t="str">
        <f aca="false">IF(A195="","",IFERROR((N(F195)+N(H195))/(N(D195)+N(G195)),0))</f>
        <v/>
      </c>
      <c r="J195" s="14"/>
      <c r="K195" s="16" t="str">
        <f aca="false">IF(A195="","",ROUND(N(J195)*I195,2))</f>
        <v/>
      </c>
      <c r="L195" s="14"/>
      <c r="M195" s="16" t="str">
        <f aca="false">IF(A195="","",ROUND(N(L195)*I195,2))</f>
        <v/>
      </c>
      <c r="N195" s="17" t="str">
        <f aca="false">IF(A195="","",N(D195)+N(G195)-N(J195)-N(L195))</f>
        <v/>
      </c>
      <c r="O195" s="16" t="str">
        <f aca="false">IF(A195="","",ROUND(N(F195)+N(H195)-N(K195)-N(M195),2))</f>
        <v/>
      </c>
    </row>
    <row r="196" customFormat="false" ht="15" hidden="false" customHeight="false" outlineLevel="0" collapsed="false">
      <c r="A196" s="13"/>
      <c r="B196" s="14"/>
      <c r="C196" s="14"/>
      <c r="D196" s="14"/>
      <c r="E196" s="15"/>
      <c r="F196" s="16" t="str">
        <f aca="false">IF(D196="","",D196*E196)</f>
        <v/>
      </c>
      <c r="G196" s="14"/>
      <c r="H196" s="15"/>
      <c r="I196" s="16" t="str">
        <f aca="false">IF(A196="","",IFERROR((N(F196)+N(H196))/(N(D196)+N(G196)),0))</f>
        <v/>
      </c>
      <c r="J196" s="14"/>
      <c r="K196" s="16" t="str">
        <f aca="false">IF(A196="","",ROUND(N(J196)*I196,2))</f>
        <v/>
      </c>
      <c r="L196" s="14"/>
      <c r="M196" s="16" t="str">
        <f aca="false">IF(A196="","",ROUND(N(L196)*I196,2))</f>
        <v/>
      </c>
      <c r="N196" s="17" t="str">
        <f aca="false">IF(A196="","",N(D196)+N(G196)-N(J196)-N(L196))</f>
        <v/>
      </c>
      <c r="O196" s="16" t="str">
        <f aca="false">IF(A196="","",ROUND(N(F196)+N(H196)-N(K196)-N(M196),2))</f>
        <v/>
      </c>
    </row>
    <row r="197" customFormat="false" ht="15" hidden="false" customHeight="false" outlineLevel="0" collapsed="false">
      <c r="A197" s="13"/>
      <c r="B197" s="14"/>
      <c r="C197" s="14"/>
      <c r="D197" s="14"/>
      <c r="E197" s="15"/>
      <c r="F197" s="16" t="str">
        <f aca="false">IF(D197="","",D197*E197)</f>
        <v/>
      </c>
      <c r="G197" s="14"/>
      <c r="H197" s="15"/>
      <c r="I197" s="16" t="str">
        <f aca="false">IF(A197="","",IFERROR((N(F197)+N(H197))/(N(D197)+N(G197)),0))</f>
        <v/>
      </c>
      <c r="J197" s="14"/>
      <c r="K197" s="16" t="str">
        <f aca="false">IF(A197="","",ROUND(N(J197)*I197,2))</f>
        <v/>
      </c>
      <c r="L197" s="14"/>
      <c r="M197" s="16" t="str">
        <f aca="false">IF(A197="","",ROUND(N(L197)*I197,2))</f>
        <v/>
      </c>
      <c r="N197" s="17" t="str">
        <f aca="false">IF(A197="","",N(D197)+N(G197)-N(J197)-N(L197))</f>
        <v/>
      </c>
      <c r="O197" s="16" t="str">
        <f aca="false">IF(A197="","",ROUND(N(F197)+N(H197)-N(K197)-N(M197),2))</f>
        <v/>
      </c>
    </row>
    <row r="198" customFormat="false" ht="15" hidden="false" customHeight="false" outlineLevel="0" collapsed="false">
      <c r="A198" s="13"/>
      <c r="B198" s="14"/>
      <c r="C198" s="14"/>
      <c r="D198" s="14"/>
      <c r="E198" s="15"/>
      <c r="F198" s="16" t="str">
        <f aca="false">IF(D198="","",D198*E198)</f>
        <v/>
      </c>
      <c r="G198" s="14"/>
      <c r="H198" s="15"/>
      <c r="I198" s="16" t="str">
        <f aca="false">IF(A198="","",IFERROR((N(F198)+N(H198))/(N(D198)+N(G198)),0))</f>
        <v/>
      </c>
      <c r="J198" s="14"/>
      <c r="K198" s="16" t="str">
        <f aca="false">IF(A198="","",ROUND(N(J198)*I198,2))</f>
        <v/>
      </c>
      <c r="L198" s="14"/>
      <c r="M198" s="16" t="str">
        <f aca="false">IF(A198="","",ROUND(N(L198)*I198,2))</f>
        <v/>
      </c>
      <c r="N198" s="17" t="str">
        <f aca="false">IF(A198="","",N(D198)+N(G198)-N(J198)-N(L198))</f>
        <v/>
      </c>
      <c r="O198" s="16" t="str">
        <f aca="false">IF(A198="","",ROUND(N(F198)+N(H198)-N(K198)-N(M198),2))</f>
        <v/>
      </c>
    </row>
    <row r="199" customFormat="false" ht="15" hidden="false" customHeight="false" outlineLevel="0" collapsed="false">
      <c r="A199" s="13"/>
      <c r="B199" s="14"/>
      <c r="C199" s="14"/>
      <c r="D199" s="14"/>
      <c r="E199" s="15"/>
      <c r="F199" s="16" t="str">
        <f aca="false">IF(D199="","",D199*E199)</f>
        <v/>
      </c>
      <c r="G199" s="14"/>
      <c r="H199" s="15"/>
      <c r="I199" s="16" t="str">
        <f aca="false">IF(A199="","",IFERROR((N(F199)+N(H199))/(N(D199)+N(G199)),0))</f>
        <v/>
      </c>
      <c r="J199" s="14"/>
      <c r="K199" s="16" t="str">
        <f aca="false">IF(A199="","",ROUND(N(J199)*I199,2))</f>
        <v/>
      </c>
      <c r="L199" s="14"/>
      <c r="M199" s="16" t="str">
        <f aca="false">IF(A199="","",ROUND(N(L199)*I199,2))</f>
        <v/>
      </c>
      <c r="N199" s="17" t="str">
        <f aca="false">IF(A199="","",N(D199)+N(G199)-N(J199)-N(L199))</f>
        <v/>
      </c>
      <c r="O199" s="16" t="str">
        <f aca="false">IF(A199="","",ROUND(N(F199)+N(H199)-N(K199)-N(M199),2))</f>
        <v/>
      </c>
    </row>
    <row r="200" customFormat="false" ht="15" hidden="false" customHeight="false" outlineLevel="0" collapsed="false">
      <c r="A200" s="13"/>
      <c r="B200" s="14"/>
      <c r="C200" s="14"/>
      <c r="D200" s="14"/>
      <c r="E200" s="15"/>
      <c r="F200" s="16" t="str">
        <f aca="false">IF(D200="","",D200*E200)</f>
        <v/>
      </c>
      <c r="G200" s="14"/>
      <c r="H200" s="15"/>
      <c r="I200" s="16" t="str">
        <f aca="false">IF(A200="","",IFERROR((N(F200)+N(H200))/(N(D200)+N(G200)),0))</f>
        <v/>
      </c>
      <c r="J200" s="14"/>
      <c r="K200" s="16" t="str">
        <f aca="false">IF(A200="","",ROUND(N(J200)*I200,2))</f>
        <v/>
      </c>
      <c r="L200" s="14"/>
      <c r="M200" s="16" t="str">
        <f aca="false">IF(A200="","",ROUND(N(L200)*I200,2))</f>
        <v/>
      </c>
      <c r="N200" s="17" t="str">
        <f aca="false">IF(A200="","",N(D200)+N(G200)-N(J200)-N(L200))</f>
        <v/>
      </c>
      <c r="O200" s="16" t="str">
        <f aca="false">IF(A200="","",ROUND(N(F200)+N(H200)-N(K200)-N(M200),2))</f>
        <v/>
      </c>
    </row>
    <row r="201" customFormat="false" ht="15" hidden="false" customHeight="false" outlineLevel="0" collapsed="false">
      <c r="A201" s="13"/>
      <c r="B201" s="14"/>
      <c r="C201" s="14"/>
      <c r="D201" s="14"/>
      <c r="E201" s="15"/>
      <c r="F201" s="16" t="str">
        <f aca="false">IF(D201="","",D201*E201)</f>
        <v/>
      </c>
      <c r="G201" s="14"/>
      <c r="H201" s="15"/>
      <c r="I201" s="16" t="str">
        <f aca="false">IF(A201="","",IFERROR((N(F201)+N(H201))/(N(D201)+N(G201)),0))</f>
        <v/>
      </c>
      <c r="J201" s="14"/>
      <c r="K201" s="16" t="str">
        <f aca="false">IF(A201="","",ROUND(N(J201)*I201,2))</f>
        <v/>
      </c>
      <c r="L201" s="14"/>
      <c r="M201" s="16" t="str">
        <f aca="false">IF(A201="","",ROUND(N(L201)*I201,2))</f>
        <v/>
      </c>
      <c r="N201" s="17" t="str">
        <f aca="false">IF(A201="","",N(D201)+N(G201)-N(J201)-N(L201))</f>
        <v/>
      </c>
      <c r="O201" s="16" t="str">
        <f aca="false">IF(A201="","",ROUND(N(F201)+N(H201)-N(K201)-N(M201),2))</f>
        <v/>
      </c>
    </row>
    <row r="202" customFormat="false" ht="15" hidden="false" customHeight="false" outlineLevel="0" collapsed="false">
      <c r="A202" s="13"/>
      <c r="B202" s="14"/>
      <c r="C202" s="14"/>
      <c r="D202" s="14"/>
      <c r="E202" s="15"/>
      <c r="F202" s="16" t="str">
        <f aca="false">IF(D202="","",D202*E202)</f>
        <v/>
      </c>
      <c r="G202" s="14"/>
      <c r="H202" s="15"/>
      <c r="I202" s="16" t="str">
        <f aca="false">IF(A202="","",IFERROR((N(F202)+N(H202))/(N(D202)+N(G202)),0))</f>
        <v/>
      </c>
      <c r="J202" s="14"/>
      <c r="K202" s="16" t="str">
        <f aca="false">IF(A202="","",ROUND(N(J202)*I202,2))</f>
        <v/>
      </c>
      <c r="L202" s="14"/>
      <c r="M202" s="16" t="str">
        <f aca="false">IF(A202="","",ROUND(N(L202)*I202,2))</f>
        <v/>
      </c>
      <c r="N202" s="17" t="str">
        <f aca="false">IF(A202="","",N(D202)+N(G202)-N(J202)-N(L202))</f>
        <v/>
      </c>
      <c r="O202" s="16" t="str">
        <f aca="false">IF(A202="","",ROUND(N(F202)+N(H202)-N(K202)-N(M202),2))</f>
        <v/>
      </c>
    </row>
    <row r="203" customFormat="false" ht="15" hidden="false" customHeight="false" outlineLevel="0" collapsed="false">
      <c r="A203" s="13"/>
      <c r="B203" s="14"/>
      <c r="C203" s="14"/>
      <c r="D203" s="14"/>
      <c r="E203" s="15"/>
      <c r="F203" s="16" t="str">
        <f aca="false">IF(D203="","",D203*E203)</f>
        <v/>
      </c>
      <c r="G203" s="14"/>
      <c r="H203" s="15"/>
      <c r="I203" s="16" t="str">
        <f aca="false">IF(A203="","",IFERROR((N(F203)+N(H203))/(N(D203)+N(G203)),0))</f>
        <v/>
      </c>
      <c r="J203" s="14"/>
      <c r="K203" s="16" t="str">
        <f aca="false">IF(A203="","",ROUND(N(J203)*I203,2))</f>
        <v/>
      </c>
      <c r="L203" s="14"/>
      <c r="M203" s="16" t="str">
        <f aca="false">IF(A203="","",ROUND(N(L203)*I203,2))</f>
        <v/>
      </c>
      <c r="N203" s="17" t="str">
        <f aca="false">IF(A203="","",N(D203)+N(G203)-N(J203)-N(L203))</f>
        <v/>
      </c>
      <c r="O203" s="16" t="str">
        <f aca="false">IF(A203="","",ROUND(N(F203)+N(H203)-N(K203)-N(M203),2))</f>
        <v/>
      </c>
    </row>
    <row r="204" customFormat="false" ht="15" hidden="false" customHeight="false" outlineLevel="0" collapsed="false">
      <c r="A204" s="13"/>
      <c r="B204" s="14"/>
      <c r="C204" s="14"/>
      <c r="D204" s="14"/>
      <c r="E204" s="15"/>
      <c r="F204" s="16" t="str">
        <f aca="false">IF(D204="","",D204*E204)</f>
        <v/>
      </c>
      <c r="G204" s="14"/>
      <c r="H204" s="15"/>
      <c r="I204" s="16" t="str">
        <f aca="false">IF(A204="","",IFERROR((N(F204)+N(H204))/(N(D204)+N(G204)),0))</f>
        <v/>
      </c>
      <c r="J204" s="14"/>
      <c r="K204" s="16" t="str">
        <f aca="false">IF(A204="","",ROUND(N(J204)*I204,2))</f>
        <v/>
      </c>
      <c r="L204" s="14"/>
      <c r="M204" s="16" t="str">
        <f aca="false">IF(A204="","",ROUND(N(L204)*I204,2))</f>
        <v/>
      </c>
      <c r="N204" s="17" t="str">
        <f aca="false">IF(A204="","",N(D204)+N(G204)-N(J204)-N(L204))</f>
        <v/>
      </c>
      <c r="O204" s="16" t="str">
        <f aca="false">IF(A204="","",ROUND(N(F204)+N(H204)-N(K204)-N(M204),2))</f>
        <v/>
      </c>
    </row>
    <row r="205" customFormat="false" ht="15" hidden="false" customHeight="false" outlineLevel="0" collapsed="false">
      <c r="A205" s="13"/>
      <c r="B205" s="14"/>
      <c r="C205" s="14"/>
      <c r="D205" s="14"/>
      <c r="E205" s="15"/>
      <c r="F205" s="16" t="str">
        <f aca="false">IF(D205="","",D205*E205)</f>
        <v/>
      </c>
      <c r="G205" s="14"/>
      <c r="H205" s="15"/>
      <c r="I205" s="16" t="str">
        <f aca="false">IF(A205="","",IFERROR((N(F205)+N(H205))/(N(D205)+N(G205)),0))</f>
        <v/>
      </c>
      <c r="J205" s="14"/>
      <c r="K205" s="16" t="str">
        <f aca="false">IF(A205="","",ROUND(N(J205)*I205,2))</f>
        <v/>
      </c>
      <c r="L205" s="14"/>
      <c r="M205" s="16" t="str">
        <f aca="false">IF(A205="","",ROUND(N(L205)*I205,2))</f>
        <v/>
      </c>
      <c r="N205" s="17" t="str">
        <f aca="false">IF(A205="","",N(D205)+N(G205)-N(J205)-N(L205))</f>
        <v/>
      </c>
      <c r="O205" s="16" t="str">
        <f aca="false">IF(A205="","",ROUND(N(F205)+N(H205)-N(K205)-N(M205),2))</f>
        <v/>
      </c>
    </row>
    <row r="206" customFormat="false" ht="15" hidden="false" customHeight="false" outlineLevel="0" collapsed="false">
      <c r="A206" s="13"/>
      <c r="B206" s="14"/>
      <c r="C206" s="14"/>
      <c r="D206" s="14"/>
      <c r="E206" s="15"/>
      <c r="F206" s="16" t="str">
        <f aca="false">IF(D206="","",D206*E206)</f>
        <v/>
      </c>
      <c r="G206" s="14"/>
      <c r="H206" s="15"/>
      <c r="I206" s="16" t="str">
        <f aca="false">IF(A206="","",IFERROR((N(F206)+N(H206))/(N(D206)+N(G206)),0))</f>
        <v/>
      </c>
      <c r="J206" s="14"/>
      <c r="K206" s="16" t="str">
        <f aca="false">IF(A206="","",ROUND(N(J206)*I206,2))</f>
        <v/>
      </c>
      <c r="L206" s="14"/>
      <c r="M206" s="16" t="str">
        <f aca="false">IF(A206="","",ROUND(N(L206)*I206,2))</f>
        <v/>
      </c>
      <c r="N206" s="17" t="str">
        <f aca="false">IF(A206="","",N(D206)+N(G206)-N(J206)-N(L206))</f>
        <v/>
      </c>
      <c r="O206" s="16" t="str">
        <f aca="false">IF(A206="","",ROUND(N(F206)+N(H206)-N(K206)-N(M206),2))</f>
        <v/>
      </c>
    </row>
    <row r="207" customFormat="false" ht="15" hidden="false" customHeight="false" outlineLevel="0" collapsed="false">
      <c r="A207" s="13"/>
      <c r="B207" s="14"/>
      <c r="C207" s="14"/>
      <c r="D207" s="14"/>
      <c r="E207" s="15"/>
      <c r="F207" s="16" t="str">
        <f aca="false">IF(D207="","",D207*E207)</f>
        <v/>
      </c>
      <c r="G207" s="14"/>
      <c r="H207" s="15"/>
      <c r="I207" s="16" t="str">
        <f aca="false">IF(A207="","",IFERROR((N(F207)+N(H207))/(N(D207)+N(G207)),0))</f>
        <v/>
      </c>
      <c r="J207" s="14"/>
      <c r="K207" s="16" t="str">
        <f aca="false">IF(A207="","",ROUND(N(J207)*I207,2))</f>
        <v/>
      </c>
      <c r="L207" s="14"/>
      <c r="M207" s="16" t="str">
        <f aca="false">IF(A207="","",ROUND(N(L207)*I207,2))</f>
        <v/>
      </c>
      <c r="N207" s="17" t="str">
        <f aca="false">IF(A207="","",N(D207)+N(G207)-N(J207)-N(L207))</f>
        <v/>
      </c>
      <c r="O207" s="16" t="str">
        <f aca="false">IF(A207="","",ROUND(N(F207)+N(H207)-N(K207)-N(M207),2))</f>
        <v/>
      </c>
    </row>
    <row r="208" customFormat="false" ht="15" hidden="false" customHeight="false" outlineLevel="0" collapsed="false">
      <c r="A208" s="13"/>
      <c r="B208" s="14"/>
      <c r="C208" s="14"/>
      <c r="D208" s="14"/>
      <c r="E208" s="15"/>
      <c r="F208" s="16" t="str">
        <f aca="false">IF(D208="","",D208*E208)</f>
        <v/>
      </c>
      <c r="G208" s="14"/>
      <c r="H208" s="15"/>
      <c r="I208" s="16" t="str">
        <f aca="false">IF(A208="","",IFERROR((N(F208)+N(H208))/(N(D208)+N(G208)),0))</f>
        <v/>
      </c>
      <c r="J208" s="14"/>
      <c r="K208" s="16" t="str">
        <f aca="false">IF(A208="","",ROUND(N(J208)*I208,2))</f>
        <v/>
      </c>
      <c r="L208" s="14"/>
      <c r="M208" s="16" t="str">
        <f aca="false">IF(A208="","",ROUND(N(L208)*I208,2))</f>
        <v/>
      </c>
      <c r="N208" s="17" t="str">
        <f aca="false">IF(A208="","",N(D208)+N(G208)-N(J208)-N(L208))</f>
        <v/>
      </c>
      <c r="O208" s="16" t="str">
        <f aca="false">IF(A208="","",ROUND(N(F208)+N(H208)-N(K208)-N(M208),2))</f>
        <v/>
      </c>
    </row>
    <row r="209" customFormat="false" ht="15" hidden="false" customHeight="false" outlineLevel="0" collapsed="false">
      <c r="A209" s="13"/>
      <c r="B209" s="14"/>
      <c r="C209" s="14"/>
      <c r="D209" s="14"/>
      <c r="E209" s="15"/>
      <c r="F209" s="16" t="str">
        <f aca="false">IF(D209="","",D209*E209)</f>
        <v/>
      </c>
      <c r="G209" s="14"/>
      <c r="H209" s="15"/>
      <c r="I209" s="16" t="str">
        <f aca="false">IF(A209="","",IFERROR((N(F209)+N(H209))/(N(D209)+N(G209)),0))</f>
        <v/>
      </c>
      <c r="J209" s="14"/>
      <c r="K209" s="16" t="str">
        <f aca="false">IF(A209="","",ROUND(N(J209)*I209,2))</f>
        <v/>
      </c>
      <c r="L209" s="14"/>
      <c r="M209" s="16" t="str">
        <f aca="false">IF(A209="","",ROUND(N(L209)*I209,2))</f>
        <v/>
      </c>
      <c r="N209" s="17" t="str">
        <f aca="false">IF(A209="","",N(D209)+N(G209)-N(J209)-N(L209))</f>
        <v/>
      </c>
      <c r="O209" s="16" t="str">
        <f aca="false">IF(A209="","",ROUND(N(F209)+N(H209)-N(K209)-N(M209),2))</f>
        <v/>
      </c>
    </row>
    <row r="210" customFormat="false" ht="15" hidden="false" customHeight="false" outlineLevel="0" collapsed="false">
      <c r="A210" s="13"/>
      <c r="B210" s="14"/>
      <c r="C210" s="14"/>
      <c r="D210" s="14"/>
      <c r="E210" s="15"/>
      <c r="F210" s="16" t="str">
        <f aca="false">IF(D210="","",D210*E210)</f>
        <v/>
      </c>
      <c r="G210" s="14"/>
      <c r="H210" s="15"/>
      <c r="I210" s="16" t="str">
        <f aca="false">IF(A210="","",IFERROR((N(F210)+N(H210))/(N(D210)+N(G210)),0))</f>
        <v/>
      </c>
      <c r="J210" s="14"/>
      <c r="K210" s="16" t="str">
        <f aca="false">IF(A210="","",ROUND(N(J210)*I210,2))</f>
        <v/>
      </c>
      <c r="L210" s="14"/>
      <c r="M210" s="16" t="str">
        <f aca="false">IF(A210="","",ROUND(N(L210)*I210,2))</f>
        <v/>
      </c>
      <c r="N210" s="17" t="str">
        <f aca="false">IF(A210="","",N(D210)+N(G210)-N(J210)-N(L210))</f>
        <v/>
      </c>
      <c r="O210" s="16" t="str">
        <f aca="false">IF(A210="","",ROUND(N(F210)+N(H210)-N(K210)-N(M210),2))</f>
        <v/>
      </c>
    </row>
    <row r="211" customFormat="false" ht="15" hidden="false" customHeight="false" outlineLevel="0" collapsed="false">
      <c r="A211" s="13"/>
      <c r="B211" s="14"/>
      <c r="C211" s="14"/>
      <c r="D211" s="14"/>
      <c r="E211" s="15"/>
      <c r="F211" s="16" t="str">
        <f aca="false">IF(D211="","",D211*E211)</f>
        <v/>
      </c>
      <c r="G211" s="14"/>
      <c r="H211" s="15"/>
      <c r="I211" s="16" t="str">
        <f aca="false">IF(A211="","",IFERROR((N(F211)+N(H211))/(N(D211)+N(G211)),0))</f>
        <v/>
      </c>
      <c r="J211" s="14"/>
      <c r="K211" s="16" t="str">
        <f aca="false">IF(A211="","",ROUND(N(J211)*I211,2))</f>
        <v/>
      </c>
      <c r="L211" s="14"/>
      <c r="M211" s="16" t="str">
        <f aca="false">IF(A211="","",ROUND(N(L211)*I211,2))</f>
        <v/>
      </c>
      <c r="N211" s="17" t="str">
        <f aca="false">IF(A211="","",N(D211)+N(G211)-N(J211)-N(L211))</f>
        <v/>
      </c>
      <c r="O211" s="16" t="str">
        <f aca="false">IF(A211="","",ROUND(N(F211)+N(H211)-N(K211)-N(M211),2))</f>
        <v/>
      </c>
    </row>
    <row r="212" customFormat="false" ht="15" hidden="false" customHeight="false" outlineLevel="0" collapsed="false">
      <c r="B212" s="3" t="s">
        <v>37</v>
      </c>
      <c r="F212" s="18" t="n">
        <f aca="false">SUM(F12:F211)</f>
        <v>185018.42</v>
      </c>
      <c r="H212" s="18" t="n">
        <f aca="false">SUM(H12:H211)</f>
        <v>274088.3</v>
      </c>
      <c r="K212" s="18" t="n">
        <f aca="false">SUM(K12:K211)</f>
        <v>193350.26</v>
      </c>
      <c r="M212" s="18" t="n">
        <f aca="false">SUM(M12:M211)</f>
        <v>3488.33</v>
      </c>
      <c r="O212" s="18" t="n">
        <f aca="false">SUM(O12:O211)</f>
        <v>262268.13</v>
      </c>
    </row>
    <row r="214" customFormat="false" ht="15" hidden="false" customHeight="false" outlineLevel="0" collapsed="false">
      <c r="B214" s="2" t="s">
        <v>38</v>
      </c>
      <c r="O214" s="19" t="n">
        <f aca="false">ROUND(F212+H212-K212-M212-O212,2)</f>
        <v>0</v>
      </c>
    </row>
    <row r="215" customFormat="false" ht="15" hidden="false" customHeight="false" outlineLevel="0" collapsed="false">
      <c r="B215" s="2" t="s">
        <v>39</v>
      </c>
    </row>
  </sheetData>
  <mergeCells count="1">
    <mergeCell ref="D9:N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30"/>
    <col collapsed="false" customWidth="true" hidden="false" outlineLevel="0" max="3" min="3" style="0" width="20"/>
  </cols>
  <sheetData>
    <row r="1" customFormat="false" ht="17.35" hidden="false" customHeight="false" outlineLevel="0" collapsed="false">
      <c r="A1" s="1" t="s">
        <v>40</v>
      </c>
    </row>
    <row r="2" customFormat="false" ht="15" hidden="false" customHeight="false" outlineLevel="0" collapsed="false">
      <c r="A2" s="2" t="s">
        <v>41</v>
      </c>
    </row>
    <row r="3" customFormat="false" ht="15" hidden="false" customHeight="false" outlineLevel="0" collapsed="false">
      <c r="A3" s="3" t="s">
        <v>42</v>
      </c>
      <c r="C3" s="20" t="n">
        <v>46387</v>
      </c>
    </row>
    <row r="5" customFormat="false" ht="15" hidden="false" customHeight="false" outlineLevel="0" collapsed="false">
      <c r="A5" s="21" t="s">
        <v>43</v>
      </c>
      <c r="B5" s="21"/>
      <c r="C5" s="21" t="s">
        <v>44</v>
      </c>
    </row>
    <row r="6" customFormat="false" ht="15" hidden="false" customHeight="false" outlineLevel="0" collapsed="false">
      <c r="A6" s="17" t="s">
        <v>45</v>
      </c>
      <c r="B6" s="22" t="s">
        <v>46</v>
      </c>
      <c r="C6" s="15" t="n">
        <v>0</v>
      </c>
    </row>
    <row r="7" customFormat="false" ht="15" hidden="false" customHeight="false" outlineLevel="0" collapsed="false">
      <c r="A7" s="17" t="s">
        <v>47</v>
      </c>
      <c r="B7" s="22" t="s">
        <v>48</v>
      </c>
      <c r="C7" s="15" t="n">
        <v>0</v>
      </c>
    </row>
    <row r="8" customFormat="false" ht="15" hidden="false" customHeight="false" outlineLevel="0" collapsed="false">
      <c r="A8" s="17" t="s">
        <v>49</v>
      </c>
      <c r="B8" s="22" t="s">
        <v>50</v>
      </c>
      <c r="C8" s="15" t="n">
        <v>0</v>
      </c>
    </row>
    <row r="9" customFormat="false" ht="15" hidden="false" customHeight="false" outlineLevel="0" collapsed="false">
      <c r="A9" s="17" t="s">
        <v>51</v>
      </c>
      <c r="B9" s="22" t="s">
        <v>52</v>
      </c>
      <c r="C9" s="23" t="n">
        <f aca="false">'Registro art. 177 RISLR'!O212</f>
        <v>262268.13</v>
      </c>
    </row>
    <row r="10" customFormat="false" ht="15" hidden="false" customHeight="false" outlineLevel="0" collapsed="false">
      <c r="A10" s="17" t="s">
        <v>53</v>
      </c>
      <c r="B10" s="22" t="s">
        <v>54</v>
      </c>
      <c r="C10" s="15" t="n">
        <v>0</v>
      </c>
    </row>
    <row r="11" customFormat="false" ht="15" hidden="false" customHeight="false" outlineLevel="0" collapsed="false">
      <c r="A11" s="17" t="s">
        <v>55</v>
      </c>
      <c r="B11" s="22"/>
      <c r="C11" s="15" t="n">
        <v>0</v>
      </c>
    </row>
    <row r="12" customFormat="false" ht="15" hidden="false" customHeight="false" outlineLevel="0" collapsed="false">
      <c r="A12" s="3" t="s">
        <v>56</v>
      </c>
      <c r="C12" s="24" t="n">
        <f aca="false">SUM(C6:C11)</f>
        <v>262268.13</v>
      </c>
    </row>
    <row r="14" customFormat="false" ht="15" hidden="false" customHeight="false" outlineLevel="0" collapsed="false">
      <c r="A14" s="21" t="s">
        <v>57</v>
      </c>
      <c r="B14" s="21"/>
      <c r="C14" s="21" t="s">
        <v>44</v>
      </c>
    </row>
    <row r="15" customFormat="false" ht="15" hidden="false" customHeight="false" outlineLevel="0" collapsed="false">
      <c r="A15" s="17" t="s">
        <v>58</v>
      </c>
      <c r="B15" s="22" t="s">
        <v>59</v>
      </c>
      <c r="C15" s="15" t="n">
        <v>0</v>
      </c>
    </row>
    <row r="16" customFormat="false" ht="15" hidden="false" customHeight="false" outlineLevel="0" collapsed="false">
      <c r="A16" s="17" t="s">
        <v>60</v>
      </c>
      <c r="B16" s="22" t="s">
        <v>61</v>
      </c>
      <c r="C16" s="15" t="n">
        <v>0</v>
      </c>
    </row>
    <row r="17" customFormat="false" ht="15" hidden="false" customHeight="false" outlineLevel="0" collapsed="false">
      <c r="A17" s="17" t="s">
        <v>62</v>
      </c>
      <c r="B17" s="22"/>
      <c r="C17" s="15" t="n">
        <v>0</v>
      </c>
    </row>
    <row r="18" customFormat="false" ht="15" hidden="false" customHeight="false" outlineLevel="0" collapsed="false">
      <c r="A18" s="17" t="s">
        <v>63</v>
      </c>
      <c r="B18" s="22"/>
      <c r="C18" s="15" t="n">
        <v>0</v>
      </c>
    </row>
    <row r="19" customFormat="false" ht="15" hidden="false" customHeight="false" outlineLevel="0" collapsed="false">
      <c r="A19" s="3" t="s">
        <v>64</v>
      </c>
      <c r="C19" s="24" t="n">
        <f aca="false">SUM(C15:C18)</f>
        <v>0</v>
      </c>
    </row>
    <row r="21" customFormat="false" ht="15" hidden="false" customHeight="false" outlineLevel="0" collapsed="false">
      <c r="A21" s="3" t="s">
        <v>65</v>
      </c>
      <c r="C21" s="18" t="n">
        <f aca="false">C12-C19</f>
        <v>262268.13</v>
      </c>
    </row>
    <row r="23" customFormat="false" ht="15" hidden="false" customHeight="false" outlineLevel="0" collapsed="false">
      <c r="A23" s="2" t="s">
        <v>66</v>
      </c>
    </row>
    <row r="24" customFormat="false" ht="15" hidden="false" customHeight="false" outlineLevel="0" collapsed="false">
      <c r="A24" s="2" t="s">
        <v>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2026-10-27T12:26:28Z</dcterms:created>
  <dc:creator>openpyxl</dc:creator>
  <dc:description/>
  <dc:language>en-US</dc:language>
  <cp:lastModifiedBy/>
  <dcterms:modified xsi:type="dcterms:W3CDTF">2026-10-27T12:26:28Z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