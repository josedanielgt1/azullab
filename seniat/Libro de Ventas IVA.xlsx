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tribuyentes" sheetId="1" state="visible" r:id="rId3"/>
    <sheet name="Máquina fiscal (Reporte Z)" sheetId="2" state="visible" r:id="rId4"/>
    <sheet name="Resumen del período"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<sst xmlns="http://schemas.openxmlformats.org/spreadsheetml/2006/main" count="102" uniqueCount="70">
  <si>
    <t xml:space="preserve">Libro de Ventas (IVA) · Ventas a contribuyentes</t>
  </si>
  <si>
    <t xml:space="preserve">Base: Reglamento General de la Ley del IVA, arts. 70 a 72, 76 y 78 (ventas a contribuyentes y no contribuyentes van separadas).</t>
  </si>
  <si>
    <t xml:space="preserve">Contribuyente (razón social)</t>
  </si>
  <si>
    <t xml:space="preserve">Azullab Farmacia, C.A.</t>
  </si>
  <si>
    <t xml:space="preserve">Alícuota general</t>
  </si>
  <si>
    <t xml:space="preserve">RIF</t>
  </si>
  <si>
    <t xml:space="preserve">J-XXXXXXXX-X</t>
  </si>
  <si>
    <t xml:space="preserve">Alícuota reducida</t>
  </si>
  <si>
    <t xml:space="preserve">Período (mes y año)</t>
  </si>
  <si>
    <t xml:space="preserve">Octubre 2026</t>
  </si>
  <si>
    <t xml:space="preserve">Moneda</t>
  </si>
  <si>
    <t xml:space="preserve">Bolívares (Bs). Los libros se llevan en moneda nacional (COT art. 102, num. 8).</t>
  </si>
  <si>
    <t xml:space="preserve">Cómo llenarlo</t>
  </si>
  <si>
    <t xml:space="preserve">Aquí van una por una las facturas emitidas con RIF del cliente, las notas de débito y las notas de crédito (en negativo). Las ventas a consumidor final por máquina fiscal se anotan en la hoja "Máquina fiscal (Reporte Z)". Escribe solo en azul; las filas grises son ejemplos.</t>
  </si>
  <si>
    <t xml:space="preserve">N° Op.</t>
  </si>
  <si>
    <t xml:space="preserve">Fecha</t>
  </si>
  <si>
    <t xml:space="preserve">Tipo de documento
(FAC, ND, NC)</t>
  </si>
  <si>
    <t xml:space="preserve">N° del documento</t>
  </si>
  <si>
    <t xml:space="preserve">N° de control o serial de máquina fiscal</t>
  </si>
  <si>
    <t xml:space="preserve">N° factura afectada
(solo ND y NC)</t>
  </si>
  <si>
    <t xml:space="preserve">RIF del cliente</t>
  </si>
  <si>
    <t xml:space="preserve">Nombre o razón social del cliente</t>
  </si>
  <si>
    <t xml:space="preserve">Total ventas incluyendo IVA</t>
  </si>
  <si>
    <t xml:space="preserve">Ventas exentas, exoneradas o no sujetas</t>
  </si>
  <si>
    <t xml:space="preserve">Base imponible alícuota general</t>
  </si>
  <si>
    <t xml:space="preserve">Débito fiscal alícuota general</t>
  </si>
  <si>
    <t xml:space="preserve">Base imponible alícuota reducida</t>
  </si>
  <si>
    <t xml:space="preserve">Débito fiscal alícuota reducida</t>
  </si>
  <si>
    <t xml:space="preserve">IVA retenido por el cliente
(si es agente de retención)</t>
  </si>
  <si>
    <t xml:space="preserve">N° comprobante de retención</t>
  </si>
  <si>
    <t xml:space="preserve">IGTF percibido
(solo si la farmacia es contribuyente especial)</t>
  </si>
  <si>
    <t xml:space="preserve">FAC</t>
  </si>
  <si>
    <t xml:space="preserve">00001188</t>
  </si>
  <si>
    <t xml:space="preserve">Z7C0012345</t>
  </si>
  <si>
    <t xml:space="preserve">J-98765432-1</t>
  </si>
  <si>
    <t xml:space="preserve">Unidad Educativa Ejemplo</t>
  </si>
  <si>
    <t xml:space="preserve">NC</t>
  </si>
  <si>
    <t xml:space="preserve">00000004</t>
  </si>
  <si>
    <t xml:space="preserve">Totales contribuyentes</t>
  </si>
  <si>
    <t xml:space="preserve">Libro de Ventas (IVA) · Resumen diario de máquina fiscal</t>
  </si>
  <si>
    <t xml:space="preserve">Base: Reglamento LIVA, art. 77 y su Parágrafo Segundo: el reporte global diario de la máquina fiscal se anota como las ventas a no contribuyentes, con el número de registro de la máquina.</t>
  </si>
  <si>
    <t xml:space="preserve">Una fila por cada Reporte Z (una por día y por máquina). Copia los montos del Reporte Z. Si en el día hubo facturas con RIF que ya anotaste en la hoja "Contribuyentes", resta esos montos aquí para no contarlos dos veces (confírmalo con tu contador). Escribe solo en azul.</t>
  </si>
  <si>
    <t xml:space="preserve">N° de Reporte Z</t>
  </si>
  <si>
    <t xml:space="preserve">Serial (registro) de la máquina fiscal</t>
  </si>
  <si>
    <t xml:space="preserve">Primera factura del día</t>
  </si>
  <si>
    <t xml:space="preserve">Última factura del día</t>
  </si>
  <si>
    <t xml:space="preserve">Total ventas del día incluyendo IVA</t>
  </si>
  <si>
    <t xml:space="preserve">IGTF percibido
(solo contribuyente especial)</t>
  </si>
  <si>
    <t xml:space="preserve">0083</t>
  </si>
  <si>
    <t xml:space="preserve">00001101</t>
  </si>
  <si>
    <t xml:space="preserve">00001131</t>
  </si>
  <si>
    <t xml:space="preserve">0084</t>
  </si>
  <si>
    <t xml:space="preserve">00001132</t>
  </si>
  <si>
    <t xml:space="preserve">00001158</t>
  </si>
  <si>
    <t xml:space="preserve">0085</t>
  </si>
  <si>
    <t xml:space="preserve">00001159</t>
  </si>
  <si>
    <t xml:space="preserve">00001187</t>
  </si>
  <si>
    <t xml:space="preserve">0086</t>
  </si>
  <si>
    <t xml:space="preserve">00001189</t>
  </si>
  <si>
    <t xml:space="preserve">00001248</t>
  </si>
  <si>
    <t xml:space="preserve">Totales máquina fiscal</t>
  </si>
  <si>
    <t xml:space="preserve">Libro de Ventas · Resumen del período (art. 72)</t>
  </si>
  <si>
    <t xml:space="preserve">Debe coincidir con la declaración mensual de IVA (forma 30). Todo se calcula solo; no escribas aquí.</t>
  </si>
  <si>
    <t xml:space="preserve">Concepto</t>
  </si>
  <si>
    <t xml:space="preserve">Contribuyentes</t>
  </si>
  <si>
    <t xml:space="preserve">Máquina fiscal</t>
  </si>
  <si>
    <t xml:space="preserve">Total</t>
  </si>
  <si>
    <t xml:space="preserve">IVA retenido por clientes (comprobantes recibidos)</t>
  </si>
  <si>
    <t xml:space="preserve">IGTF percibido (solo contribuyente especial)</t>
  </si>
  <si>
    <t xml:space="preserve">Débito fiscal total del período</t>
  </si>
</sst>
</file>

<file path=xl/styles.xml><?xml version="1.0" encoding="utf-8"?>
<styleSheet xmlns="http://schemas.openxmlformats.org/spreadsheetml/2006/main">
  <numFmts count="6">
    <numFmt numFmtId="164" formatCode="General"/>
    <numFmt numFmtId="165" formatCode="0.00%"/>
    <numFmt numFmtId="166" formatCode="General"/>
    <numFmt numFmtId="167" formatCode="dd/mm/yyyy"/>
    <numFmt numFmtId="168" formatCode="#,##0.00;\(#,##0.00\);\-"/>
    <numFmt numFmtId="169" formatCode="@"/>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55555"/>
      <name val="Arial"/>
      <family val="0"/>
      <charset val="1"/>
    </font>
    <font>
      <b val="true"/>
      <sz val="10"/>
      <name val="Arial"/>
      <family val="0"/>
      <charset val="1"/>
    </font>
    <font>
      <sz val="10"/>
      <color rgb="FF0000FF"/>
      <name val="Arial"/>
      <family val="0"/>
      <charset val="1"/>
    </font>
    <font>
      <sz val="10"/>
      <name val="Arial"/>
      <family val="0"/>
      <charset val="1"/>
    </font>
    <font>
      <b val="true"/>
      <sz val="9"/>
      <color rgb="FFFFFFFF"/>
      <name val="Arial"/>
      <family val="0"/>
      <charset val="1"/>
    </font>
    <font>
      <sz val="10"/>
      <color rgb="FF008000"/>
      <name val="Arial"/>
      <family val="0"/>
      <charset val="1"/>
    </font>
  </fonts>
  <fills count="6">
    <fill>
      <patternFill patternType="none"/>
    </fill>
    <fill>
      <patternFill patternType="gray125"/>
    </fill>
    <fill>
      <patternFill patternType="solid">
        <fgColor rgb="FFFFFF00"/>
        <bgColor rgb="FFFFFF00"/>
      </patternFill>
    </fill>
    <fill>
      <patternFill patternType="solid">
        <fgColor rgb="FF1A2440"/>
        <bgColor rgb="FF003366"/>
      </patternFill>
    </fill>
    <fill>
      <patternFill patternType="solid">
        <fgColor rgb="FFF4F6F9"/>
        <bgColor rgb="FFFFFFFF"/>
      </patternFill>
    </fill>
    <fill>
      <patternFill patternType="solid">
        <fgColor rgb="FFDCE6F1"/>
        <bgColor rgb="FFF4F6F9"/>
      </patternFill>
    </fill>
  </fills>
  <borders count="3">
    <border diagonalUp="false" diagonalDown="false">
      <left/>
      <right/>
      <top/>
      <bottom/>
      <diagonal/>
    </border>
    <border diagonalUp="false" diagonalDown="false">
      <left style="thin">
        <color rgb="FF9AA7BA"/>
      </left>
      <right style="thin">
        <color rgb="FF9AA7BA"/>
      </right>
      <top style="thin">
        <color rgb="FF9AA7BA"/>
      </top>
      <bottom style="thin">
        <color rgb="FF9AA7BA"/>
      </bottom>
      <diagonal/>
    </border>
    <border diagonalUp="false" diagonalDown="false">
      <left/>
      <right/>
      <top style="thin">
        <color rgb="FF9AA7BA"/>
      </top>
      <bottom style="double">
        <color rgb="FF1A244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5" fontId="7" fillId="2"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6" fontId="8" fillId="4" borderId="1" xfId="0" applyFont="true" applyBorder="true" applyAlignment="false" applyProtection="false">
      <alignment horizontal="general" vertical="bottom" textRotation="0" wrapText="false" indent="0" shrinkToFit="false"/>
      <protection locked="true" hidden="false"/>
    </xf>
    <xf numFmtId="167" fontId="7" fillId="4" borderId="1"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8" fontId="8" fillId="4" borderId="1" xfId="0" applyFont="true" applyBorder="true" applyAlignment="false" applyProtection="false">
      <alignment horizontal="general" vertical="bottom" textRotation="0" wrapText="false" indent="0" shrinkToFit="false"/>
      <protection locked="true" hidden="false"/>
    </xf>
    <xf numFmtId="168" fontId="7" fillId="4"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8" fontId="6" fillId="5" borderId="2" xfId="0" applyFont="true" applyBorder="tru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9" fontId="7" fillId="4" borderId="1" xfId="0" applyFont="true" applyBorder="true" applyAlignment="false" applyProtection="false">
      <alignment horizontal="general"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center" vertical="bottom" textRotation="0" wrapText="false" indent="0" shrinkToFit="false"/>
      <protection locked="true" hidden="false"/>
    </xf>
    <xf numFmtId="168" fontId="10" fillId="0" borderId="1" xfId="0" applyFont="true" applyBorder="true" applyAlignment="false" applyProtection="false">
      <alignment horizontal="general" vertical="bottom" textRotation="0" wrapText="false" indent="0" shrinkToFit="false"/>
      <protection locked="true" hidden="false"/>
    </xf>
    <xf numFmtId="168" fontId="6"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4F6F9"/>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AA7BA"/>
      <rgbColor rgb="FF003366"/>
      <rgbColor rgb="FF339966"/>
      <rgbColor rgb="FF003300"/>
      <rgbColor rgb="FF333300"/>
      <rgbColor rgb="FF993300"/>
      <rgbColor rgb="FF993366"/>
      <rgbColor rgb="FF333399"/>
      <rgbColor rgb="FF1A24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3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1" topLeftCell="C12" activePane="bottomRight" state="frozen"/>
      <selection pane="topLeft" activeCell="A1" activeCellId="0" sqref="A1"/>
      <selection pane="topRight" activeCell="C1" activeCellId="0" sqref="C1"/>
      <selection pane="bottomLeft" activeCell="A12" activeCellId="0" sqref="A1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2"/>
    <col collapsed="false" customWidth="true" hidden="false" outlineLevel="0" max="4" min="3" style="0" width="13"/>
    <col collapsed="false" customWidth="true" hidden="false" outlineLevel="0" max="5" min="5" style="0" width="16"/>
    <col collapsed="false" customWidth="true" hidden="false" outlineLevel="0" max="6" min="6" style="0" width="14"/>
    <col collapsed="false" customWidth="true" hidden="false" outlineLevel="0" max="7" min="7" style="0" width="15"/>
    <col collapsed="false" customWidth="true" hidden="false" outlineLevel="0" max="8" min="8" style="0" width="32"/>
    <col collapsed="false" customWidth="true" hidden="false" outlineLevel="0" max="9" min="9" style="0" width="16"/>
    <col collapsed="false" customWidth="true" hidden="false" outlineLevel="0" max="10" min="10" style="0" width="17"/>
    <col collapsed="false" customWidth="true" hidden="false" outlineLevel="0" max="11" min="11" style="0" width="16"/>
    <col collapsed="false" customWidth="true" hidden="false" outlineLevel="0" max="12" min="12" style="0" width="15"/>
    <col collapsed="false" customWidth="true" hidden="false" outlineLevel="0" max="13" min="13" style="0" width="16"/>
    <col collapsed="false" customWidth="true" hidden="false" outlineLevel="0" max="14" min="14" style="0" width="15"/>
    <col collapsed="false" customWidth="true" hidden="false" outlineLevel="0" max="15" min="15" style="0" width="17"/>
    <col collapsed="false" customWidth="true" hidden="false" outlineLevel="0" max="16" min="16" style="0" width="16"/>
    <col collapsed="false" customWidth="true" hidden="false" outlineLevel="0" max="17" min="17" style="0" width="17"/>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D4" s="4" t="s">
        <v>3</v>
      </c>
      <c r="O4" s="3" t="s">
        <v>4</v>
      </c>
      <c r="P4" s="5" t="n">
        <v>0.16</v>
      </c>
    </row>
    <row r="5" customFormat="false" ht="15" hidden="false" customHeight="false" outlineLevel="0" collapsed="false">
      <c r="A5" s="3" t="s">
        <v>5</v>
      </c>
      <c r="D5" s="4" t="s">
        <v>6</v>
      </c>
      <c r="O5" s="3" t="s">
        <v>7</v>
      </c>
      <c r="P5" s="5" t="n">
        <v>0.08</v>
      </c>
    </row>
    <row r="6" customFormat="false" ht="15" hidden="false" customHeight="false" outlineLevel="0" collapsed="false">
      <c r="A6" s="3" t="s">
        <v>8</v>
      </c>
      <c r="D6" s="4" t="s">
        <v>9</v>
      </c>
    </row>
    <row r="7" customFormat="false" ht="15" hidden="false" customHeight="false" outlineLevel="0" collapsed="false">
      <c r="A7" s="3" t="s">
        <v>10</v>
      </c>
      <c r="D7" s="6" t="s">
        <v>11</v>
      </c>
    </row>
    <row r="9" customFormat="false" ht="42" hidden="false" customHeight="true" outlineLevel="0" collapsed="false">
      <c r="A9" s="3" t="s">
        <v>12</v>
      </c>
      <c r="D9" s="7" t="s">
        <v>13</v>
      </c>
      <c r="E9" s="7"/>
      <c r="F9" s="7"/>
      <c r="G9" s="7"/>
      <c r="H9" s="7"/>
      <c r="I9" s="7"/>
      <c r="J9" s="7"/>
      <c r="K9" s="7"/>
      <c r="L9" s="7"/>
      <c r="M9" s="7"/>
      <c r="N9" s="7"/>
    </row>
    <row r="11" customFormat="false" ht="54" hidden="false" customHeight="true" outlineLevel="0" collapsed="false">
      <c r="A11" s="8" t="s">
        <v>14</v>
      </c>
      <c r="B11" s="8" t="s">
        <v>15</v>
      </c>
      <c r="C11" s="8" t="s">
        <v>16</v>
      </c>
      <c r="D11" s="8" t="s">
        <v>17</v>
      </c>
      <c r="E11" s="8" t="s">
        <v>18</v>
      </c>
      <c r="F11" s="8" t="s">
        <v>19</v>
      </c>
      <c r="G11" s="8" t="s">
        <v>20</v>
      </c>
      <c r="H11" s="8" t="s">
        <v>21</v>
      </c>
      <c r="I11" s="8" t="s">
        <v>22</v>
      </c>
      <c r="J11" s="8" t="s">
        <v>23</v>
      </c>
      <c r="K11" s="8" t="s">
        <v>24</v>
      </c>
      <c r="L11" s="8" t="s">
        <v>25</v>
      </c>
      <c r="M11" s="8" t="s">
        <v>26</v>
      </c>
      <c r="N11" s="8" t="s">
        <v>27</v>
      </c>
      <c r="O11" s="8" t="s">
        <v>28</v>
      </c>
      <c r="P11" s="8" t="s">
        <v>29</v>
      </c>
      <c r="Q11" s="8" t="s">
        <v>30</v>
      </c>
    </row>
    <row r="12" customFormat="false" ht="15" hidden="false" customHeight="false" outlineLevel="0" collapsed="false">
      <c r="A12" s="9" t="n">
        <f aca="false">IF(B12="","",ROW()-11)</f>
        <v>1</v>
      </c>
      <c r="B12" s="10" t="n">
        <v>46320</v>
      </c>
      <c r="C12" s="11" t="s">
        <v>31</v>
      </c>
      <c r="D12" s="11" t="s">
        <v>32</v>
      </c>
      <c r="E12" s="11" t="s">
        <v>33</v>
      </c>
      <c r="F12" s="11"/>
      <c r="G12" s="11" t="s">
        <v>34</v>
      </c>
      <c r="H12" s="11" t="s">
        <v>35</v>
      </c>
      <c r="I12" s="12" t="n">
        <f aca="false">IF(B12="","",SUM(J12:N12))</f>
        <v>33753.79</v>
      </c>
      <c r="J12" s="13" t="n">
        <v>14286.46</v>
      </c>
      <c r="K12" s="13" t="n">
        <v>16782.18</v>
      </c>
      <c r="L12" s="12" t="n">
        <f aca="false">IF(K12="","",ROUND(K12*$P$4,2))</f>
        <v>2685.15</v>
      </c>
      <c r="M12" s="13" t="n">
        <v>0</v>
      </c>
      <c r="N12" s="12" t="n">
        <f aca="false">IF(M12="","",ROUND(M12*$P$5,2))</f>
        <v>0</v>
      </c>
      <c r="O12" s="13"/>
      <c r="P12" s="11"/>
      <c r="Q12" s="13"/>
    </row>
    <row r="13" customFormat="false" ht="15" hidden="false" customHeight="false" outlineLevel="0" collapsed="false">
      <c r="A13" s="9" t="n">
        <f aca="false">IF(B13="","",ROW()-11)</f>
        <v>2</v>
      </c>
      <c r="B13" s="10" t="n">
        <v>46321</v>
      </c>
      <c r="C13" s="11" t="s">
        <v>36</v>
      </c>
      <c r="D13" s="11" t="s">
        <v>37</v>
      </c>
      <c r="E13" s="11" t="s">
        <v>33</v>
      </c>
      <c r="F13" s="11" t="s">
        <v>32</v>
      </c>
      <c r="G13" s="11" t="s">
        <v>34</v>
      </c>
      <c r="H13" s="11" t="s">
        <v>35</v>
      </c>
      <c r="I13" s="12" t="n">
        <f aca="false">IF(B13="","",SUM(J13:N13))</f>
        <v>-1587.38</v>
      </c>
      <c r="J13" s="13" t="n">
        <v>-1587.38</v>
      </c>
      <c r="K13" s="13" t="n">
        <v>0</v>
      </c>
      <c r="L13" s="12" t="n">
        <f aca="false">IF(K13="","",ROUND(K13*$P$4,2))</f>
        <v>0</v>
      </c>
      <c r="M13" s="13" t="n">
        <v>0</v>
      </c>
      <c r="N13" s="12" t="n">
        <f aca="false">IF(M13="","",ROUND(M13*$P$5,2))</f>
        <v>0</v>
      </c>
      <c r="O13" s="13"/>
      <c r="P13" s="11"/>
      <c r="Q13" s="13"/>
    </row>
    <row r="14" customFormat="false" ht="15" hidden="false" customHeight="false" outlineLevel="0" collapsed="false">
      <c r="A14" s="14" t="str">
        <f aca="false">IF(B14="","",ROW()-11)</f>
        <v/>
      </c>
      <c r="B14" s="15"/>
      <c r="C14" s="16"/>
      <c r="D14" s="16"/>
      <c r="E14" s="16"/>
      <c r="F14" s="16"/>
      <c r="G14" s="16"/>
      <c r="H14" s="16"/>
      <c r="I14" s="17" t="str">
        <f aca="false">IF(B14="","",SUM(J14:N14))</f>
        <v/>
      </c>
      <c r="J14" s="18"/>
      <c r="K14" s="18"/>
      <c r="L14" s="17" t="str">
        <f aca="false">IF(K14="","",ROUND(K14*$P$4,2))</f>
        <v/>
      </c>
      <c r="M14" s="18"/>
      <c r="N14" s="17" t="str">
        <f aca="false">IF(M14="","",ROUND(M14*$P$5,2))</f>
        <v/>
      </c>
      <c r="O14" s="18"/>
      <c r="P14" s="16"/>
      <c r="Q14" s="18"/>
    </row>
    <row r="15" customFormat="false" ht="15" hidden="false" customHeight="false" outlineLevel="0" collapsed="false">
      <c r="A15" s="14" t="str">
        <f aca="false">IF(B15="","",ROW()-11)</f>
        <v/>
      </c>
      <c r="B15" s="15"/>
      <c r="C15" s="16"/>
      <c r="D15" s="16"/>
      <c r="E15" s="16"/>
      <c r="F15" s="16"/>
      <c r="G15" s="16"/>
      <c r="H15" s="16"/>
      <c r="I15" s="17" t="str">
        <f aca="false">IF(B15="","",SUM(J15:N15))</f>
        <v/>
      </c>
      <c r="J15" s="18"/>
      <c r="K15" s="18"/>
      <c r="L15" s="17" t="str">
        <f aca="false">IF(K15="","",ROUND(K15*$P$4,2))</f>
        <v/>
      </c>
      <c r="M15" s="18"/>
      <c r="N15" s="17" t="str">
        <f aca="false">IF(M15="","",ROUND(M15*$P$5,2))</f>
        <v/>
      </c>
      <c r="O15" s="18"/>
      <c r="P15" s="16"/>
      <c r="Q15" s="18"/>
    </row>
    <row r="16" customFormat="false" ht="15" hidden="false" customHeight="false" outlineLevel="0" collapsed="false">
      <c r="A16" s="14" t="str">
        <f aca="false">IF(B16="","",ROW()-11)</f>
        <v/>
      </c>
      <c r="B16" s="15"/>
      <c r="C16" s="16"/>
      <c r="D16" s="16"/>
      <c r="E16" s="16"/>
      <c r="F16" s="16"/>
      <c r="G16" s="16"/>
      <c r="H16" s="16"/>
      <c r="I16" s="17" t="str">
        <f aca="false">IF(B16="","",SUM(J16:N16))</f>
        <v/>
      </c>
      <c r="J16" s="18"/>
      <c r="K16" s="18"/>
      <c r="L16" s="17" t="str">
        <f aca="false">IF(K16="","",ROUND(K16*$P$4,2))</f>
        <v/>
      </c>
      <c r="M16" s="18"/>
      <c r="N16" s="17" t="str">
        <f aca="false">IF(M16="","",ROUND(M16*$P$5,2))</f>
        <v/>
      </c>
      <c r="O16" s="18"/>
      <c r="P16" s="16"/>
      <c r="Q16" s="18"/>
    </row>
    <row r="17" customFormat="false" ht="15" hidden="false" customHeight="false" outlineLevel="0" collapsed="false">
      <c r="A17" s="14" t="str">
        <f aca="false">IF(B17="","",ROW()-11)</f>
        <v/>
      </c>
      <c r="B17" s="15"/>
      <c r="C17" s="16"/>
      <c r="D17" s="16"/>
      <c r="E17" s="16"/>
      <c r="F17" s="16"/>
      <c r="G17" s="16"/>
      <c r="H17" s="16"/>
      <c r="I17" s="17" t="str">
        <f aca="false">IF(B17="","",SUM(J17:N17))</f>
        <v/>
      </c>
      <c r="J17" s="18"/>
      <c r="K17" s="18"/>
      <c r="L17" s="17" t="str">
        <f aca="false">IF(K17="","",ROUND(K17*$P$4,2))</f>
        <v/>
      </c>
      <c r="M17" s="18"/>
      <c r="N17" s="17" t="str">
        <f aca="false">IF(M17="","",ROUND(M17*$P$5,2))</f>
        <v/>
      </c>
      <c r="O17" s="18"/>
      <c r="P17" s="16"/>
      <c r="Q17" s="18"/>
    </row>
    <row r="18" customFormat="false" ht="15" hidden="false" customHeight="false" outlineLevel="0" collapsed="false">
      <c r="A18" s="14" t="str">
        <f aca="false">IF(B18="","",ROW()-11)</f>
        <v/>
      </c>
      <c r="B18" s="15"/>
      <c r="C18" s="16"/>
      <c r="D18" s="16"/>
      <c r="E18" s="16"/>
      <c r="F18" s="16"/>
      <c r="G18" s="16"/>
      <c r="H18" s="16"/>
      <c r="I18" s="17" t="str">
        <f aca="false">IF(B18="","",SUM(J18:N18))</f>
        <v/>
      </c>
      <c r="J18" s="18"/>
      <c r="K18" s="18"/>
      <c r="L18" s="17" t="str">
        <f aca="false">IF(K18="","",ROUND(K18*$P$4,2))</f>
        <v/>
      </c>
      <c r="M18" s="18"/>
      <c r="N18" s="17" t="str">
        <f aca="false">IF(M18="","",ROUND(M18*$P$5,2))</f>
        <v/>
      </c>
      <c r="O18" s="18"/>
      <c r="P18" s="16"/>
      <c r="Q18" s="18"/>
    </row>
    <row r="19" customFormat="false" ht="15" hidden="false" customHeight="false" outlineLevel="0" collapsed="false">
      <c r="A19" s="14" t="str">
        <f aca="false">IF(B19="","",ROW()-11)</f>
        <v/>
      </c>
      <c r="B19" s="15"/>
      <c r="C19" s="16"/>
      <c r="D19" s="16"/>
      <c r="E19" s="16"/>
      <c r="F19" s="16"/>
      <c r="G19" s="16"/>
      <c r="H19" s="16"/>
      <c r="I19" s="17" t="str">
        <f aca="false">IF(B19="","",SUM(J19:N19))</f>
        <v/>
      </c>
      <c r="J19" s="18"/>
      <c r="K19" s="18"/>
      <c r="L19" s="17" t="str">
        <f aca="false">IF(K19="","",ROUND(K19*$P$4,2))</f>
        <v/>
      </c>
      <c r="M19" s="18"/>
      <c r="N19" s="17" t="str">
        <f aca="false">IF(M19="","",ROUND(M19*$P$5,2))</f>
        <v/>
      </c>
      <c r="O19" s="18"/>
      <c r="P19" s="16"/>
      <c r="Q19" s="18"/>
    </row>
    <row r="20" customFormat="false" ht="15" hidden="false" customHeight="false" outlineLevel="0" collapsed="false">
      <c r="A20" s="14" t="str">
        <f aca="false">IF(B20="","",ROW()-11)</f>
        <v/>
      </c>
      <c r="B20" s="15"/>
      <c r="C20" s="16"/>
      <c r="D20" s="16"/>
      <c r="E20" s="16"/>
      <c r="F20" s="16"/>
      <c r="G20" s="16"/>
      <c r="H20" s="16"/>
      <c r="I20" s="17" t="str">
        <f aca="false">IF(B20="","",SUM(J20:N20))</f>
        <v/>
      </c>
      <c r="J20" s="18"/>
      <c r="K20" s="18"/>
      <c r="L20" s="17" t="str">
        <f aca="false">IF(K20="","",ROUND(K20*$P$4,2))</f>
        <v/>
      </c>
      <c r="M20" s="18"/>
      <c r="N20" s="17" t="str">
        <f aca="false">IF(M20="","",ROUND(M20*$P$5,2))</f>
        <v/>
      </c>
      <c r="O20" s="18"/>
      <c r="P20" s="16"/>
      <c r="Q20" s="18"/>
    </row>
    <row r="21" customFormat="false" ht="15" hidden="false" customHeight="false" outlineLevel="0" collapsed="false">
      <c r="A21" s="14" t="str">
        <f aca="false">IF(B21="","",ROW()-11)</f>
        <v/>
      </c>
      <c r="B21" s="15"/>
      <c r="C21" s="16"/>
      <c r="D21" s="16"/>
      <c r="E21" s="16"/>
      <c r="F21" s="16"/>
      <c r="G21" s="16"/>
      <c r="H21" s="16"/>
      <c r="I21" s="17" t="str">
        <f aca="false">IF(B21="","",SUM(J21:N21))</f>
        <v/>
      </c>
      <c r="J21" s="18"/>
      <c r="K21" s="18"/>
      <c r="L21" s="17" t="str">
        <f aca="false">IF(K21="","",ROUND(K21*$P$4,2))</f>
        <v/>
      </c>
      <c r="M21" s="18"/>
      <c r="N21" s="17" t="str">
        <f aca="false">IF(M21="","",ROUND(M21*$P$5,2))</f>
        <v/>
      </c>
      <c r="O21" s="18"/>
      <c r="P21" s="16"/>
      <c r="Q21" s="18"/>
    </row>
    <row r="22" customFormat="false" ht="15" hidden="false" customHeight="false" outlineLevel="0" collapsed="false">
      <c r="A22" s="14" t="str">
        <f aca="false">IF(B22="","",ROW()-11)</f>
        <v/>
      </c>
      <c r="B22" s="15"/>
      <c r="C22" s="16"/>
      <c r="D22" s="16"/>
      <c r="E22" s="16"/>
      <c r="F22" s="16"/>
      <c r="G22" s="16"/>
      <c r="H22" s="16"/>
      <c r="I22" s="17" t="str">
        <f aca="false">IF(B22="","",SUM(J22:N22))</f>
        <v/>
      </c>
      <c r="J22" s="18"/>
      <c r="K22" s="18"/>
      <c r="L22" s="17" t="str">
        <f aca="false">IF(K22="","",ROUND(K22*$P$4,2))</f>
        <v/>
      </c>
      <c r="M22" s="18"/>
      <c r="N22" s="17" t="str">
        <f aca="false">IF(M22="","",ROUND(M22*$P$5,2))</f>
        <v/>
      </c>
      <c r="O22" s="18"/>
      <c r="P22" s="16"/>
      <c r="Q22" s="18"/>
    </row>
    <row r="23" customFormat="false" ht="15" hidden="false" customHeight="false" outlineLevel="0" collapsed="false">
      <c r="A23" s="14" t="str">
        <f aca="false">IF(B23="","",ROW()-11)</f>
        <v/>
      </c>
      <c r="B23" s="15"/>
      <c r="C23" s="16"/>
      <c r="D23" s="16"/>
      <c r="E23" s="16"/>
      <c r="F23" s="16"/>
      <c r="G23" s="16"/>
      <c r="H23" s="16"/>
      <c r="I23" s="17" t="str">
        <f aca="false">IF(B23="","",SUM(J23:N23))</f>
        <v/>
      </c>
      <c r="J23" s="18"/>
      <c r="K23" s="18"/>
      <c r="L23" s="17" t="str">
        <f aca="false">IF(K23="","",ROUND(K23*$P$4,2))</f>
        <v/>
      </c>
      <c r="M23" s="18"/>
      <c r="N23" s="17" t="str">
        <f aca="false">IF(M23="","",ROUND(M23*$P$5,2))</f>
        <v/>
      </c>
      <c r="O23" s="18"/>
      <c r="P23" s="16"/>
      <c r="Q23" s="18"/>
    </row>
    <row r="24" customFormat="false" ht="15" hidden="false" customHeight="false" outlineLevel="0" collapsed="false">
      <c r="A24" s="14" t="str">
        <f aca="false">IF(B24="","",ROW()-11)</f>
        <v/>
      </c>
      <c r="B24" s="15"/>
      <c r="C24" s="16"/>
      <c r="D24" s="16"/>
      <c r="E24" s="16"/>
      <c r="F24" s="16"/>
      <c r="G24" s="16"/>
      <c r="H24" s="16"/>
      <c r="I24" s="17" t="str">
        <f aca="false">IF(B24="","",SUM(J24:N24))</f>
        <v/>
      </c>
      <c r="J24" s="18"/>
      <c r="K24" s="18"/>
      <c r="L24" s="17" t="str">
        <f aca="false">IF(K24="","",ROUND(K24*$P$4,2))</f>
        <v/>
      </c>
      <c r="M24" s="18"/>
      <c r="N24" s="17" t="str">
        <f aca="false">IF(M24="","",ROUND(M24*$P$5,2))</f>
        <v/>
      </c>
      <c r="O24" s="18"/>
      <c r="P24" s="16"/>
      <c r="Q24" s="18"/>
    </row>
    <row r="25" customFormat="false" ht="15" hidden="false" customHeight="false" outlineLevel="0" collapsed="false">
      <c r="A25" s="14" t="str">
        <f aca="false">IF(B25="","",ROW()-11)</f>
        <v/>
      </c>
      <c r="B25" s="15"/>
      <c r="C25" s="16"/>
      <c r="D25" s="16"/>
      <c r="E25" s="16"/>
      <c r="F25" s="16"/>
      <c r="G25" s="16"/>
      <c r="H25" s="16"/>
      <c r="I25" s="17" t="str">
        <f aca="false">IF(B25="","",SUM(J25:N25))</f>
        <v/>
      </c>
      <c r="J25" s="18"/>
      <c r="K25" s="18"/>
      <c r="L25" s="17" t="str">
        <f aca="false">IF(K25="","",ROUND(K25*$P$4,2))</f>
        <v/>
      </c>
      <c r="M25" s="18"/>
      <c r="N25" s="17" t="str">
        <f aca="false">IF(M25="","",ROUND(M25*$P$5,2))</f>
        <v/>
      </c>
      <c r="O25" s="18"/>
      <c r="P25" s="16"/>
      <c r="Q25" s="18"/>
    </row>
    <row r="26" customFormat="false" ht="15" hidden="false" customHeight="false" outlineLevel="0" collapsed="false">
      <c r="A26" s="14" t="str">
        <f aca="false">IF(B26="","",ROW()-11)</f>
        <v/>
      </c>
      <c r="B26" s="15"/>
      <c r="C26" s="16"/>
      <c r="D26" s="16"/>
      <c r="E26" s="16"/>
      <c r="F26" s="16"/>
      <c r="G26" s="16"/>
      <c r="H26" s="16"/>
      <c r="I26" s="17" t="str">
        <f aca="false">IF(B26="","",SUM(J26:N26))</f>
        <v/>
      </c>
      <c r="J26" s="18"/>
      <c r="K26" s="18"/>
      <c r="L26" s="17" t="str">
        <f aca="false">IF(K26="","",ROUND(K26*$P$4,2))</f>
        <v/>
      </c>
      <c r="M26" s="18"/>
      <c r="N26" s="17" t="str">
        <f aca="false">IF(M26="","",ROUND(M26*$P$5,2))</f>
        <v/>
      </c>
      <c r="O26" s="18"/>
      <c r="P26" s="16"/>
      <c r="Q26" s="18"/>
    </row>
    <row r="27" customFormat="false" ht="15" hidden="false" customHeight="false" outlineLevel="0" collapsed="false">
      <c r="A27" s="14" t="str">
        <f aca="false">IF(B27="","",ROW()-11)</f>
        <v/>
      </c>
      <c r="B27" s="15"/>
      <c r="C27" s="16"/>
      <c r="D27" s="16"/>
      <c r="E27" s="16"/>
      <c r="F27" s="16"/>
      <c r="G27" s="16"/>
      <c r="H27" s="16"/>
      <c r="I27" s="17" t="str">
        <f aca="false">IF(B27="","",SUM(J27:N27))</f>
        <v/>
      </c>
      <c r="J27" s="18"/>
      <c r="K27" s="18"/>
      <c r="L27" s="17" t="str">
        <f aca="false">IF(K27="","",ROUND(K27*$P$4,2))</f>
        <v/>
      </c>
      <c r="M27" s="18"/>
      <c r="N27" s="17" t="str">
        <f aca="false">IF(M27="","",ROUND(M27*$P$5,2))</f>
        <v/>
      </c>
      <c r="O27" s="18"/>
      <c r="P27" s="16"/>
      <c r="Q27" s="18"/>
    </row>
    <row r="28" customFormat="false" ht="15" hidden="false" customHeight="false" outlineLevel="0" collapsed="false">
      <c r="A28" s="14" t="str">
        <f aca="false">IF(B28="","",ROW()-11)</f>
        <v/>
      </c>
      <c r="B28" s="15"/>
      <c r="C28" s="16"/>
      <c r="D28" s="16"/>
      <c r="E28" s="16"/>
      <c r="F28" s="16"/>
      <c r="G28" s="16"/>
      <c r="H28" s="16"/>
      <c r="I28" s="17" t="str">
        <f aca="false">IF(B28="","",SUM(J28:N28))</f>
        <v/>
      </c>
      <c r="J28" s="18"/>
      <c r="K28" s="18"/>
      <c r="L28" s="17" t="str">
        <f aca="false">IF(K28="","",ROUND(K28*$P$4,2))</f>
        <v/>
      </c>
      <c r="M28" s="18"/>
      <c r="N28" s="17" t="str">
        <f aca="false">IF(M28="","",ROUND(M28*$P$5,2))</f>
        <v/>
      </c>
      <c r="O28" s="18"/>
      <c r="P28" s="16"/>
      <c r="Q28" s="18"/>
    </row>
    <row r="29" customFormat="false" ht="15" hidden="false" customHeight="false" outlineLevel="0" collapsed="false">
      <c r="A29" s="14" t="str">
        <f aca="false">IF(B29="","",ROW()-11)</f>
        <v/>
      </c>
      <c r="B29" s="15"/>
      <c r="C29" s="16"/>
      <c r="D29" s="16"/>
      <c r="E29" s="16"/>
      <c r="F29" s="16"/>
      <c r="G29" s="16"/>
      <c r="H29" s="16"/>
      <c r="I29" s="17" t="str">
        <f aca="false">IF(B29="","",SUM(J29:N29))</f>
        <v/>
      </c>
      <c r="J29" s="18"/>
      <c r="K29" s="18"/>
      <c r="L29" s="17" t="str">
        <f aca="false">IF(K29="","",ROUND(K29*$P$4,2))</f>
        <v/>
      </c>
      <c r="M29" s="18"/>
      <c r="N29" s="17" t="str">
        <f aca="false">IF(M29="","",ROUND(M29*$P$5,2))</f>
        <v/>
      </c>
      <c r="O29" s="18"/>
      <c r="P29" s="16"/>
      <c r="Q29" s="18"/>
    </row>
    <row r="30" customFormat="false" ht="15" hidden="false" customHeight="false" outlineLevel="0" collapsed="false">
      <c r="A30" s="14" t="str">
        <f aca="false">IF(B30="","",ROW()-11)</f>
        <v/>
      </c>
      <c r="B30" s="15"/>
      <c r="C30" s="16"/>
      <c r="D30" s="16"/>
      <c r="E30" s="16"/>
      <c r="F30" s="16"/>
      <c r="G30" s="16"/>
      <c r="H30" s="16"/>
      <c r="I30" s="17" t="str">
        <f aca="false">IF(B30="","",SUM(J30:N30))</f>
        <v/>
      </c>
      <c r="J30" s="18"/>
      <c r="K30" s="18"/>
      <c r="L30" s="17" t="str">
        <f aca="false">IF(K30="","",ROUND(K30*$P$4,2))</f>
        <v/>
      </c>
      <c r="M30" s="18"/>
      <c r="N30" s="17" t="str">
        <f aca="false">IF(M30="","",ROUND(M30*$P$5,2))</f>
        <v/>
      </c>
      <c r="O30" s="18"/>
      <c r="P30" s="16"/>
      <c r="Q30" s="18"/>
    </row>
    <row r="31" customFormat="false" ht="15" hidden="false" customHeight="false" outlineLevel="0" collapsed="false">
      <c r="A31" s="14" t="str">
        <f aca="false">IF(B31="","",ROW()-11)</f>
        <v/>
      </c>
      <c r="B31" s="15"/>
      <c r="C31" s="16"/>
      <c r="D31" s="16"/>
      <c r="E31" s="16"/>
      <c r="F31" s="16"/>
      <c r="G31" s="16"/>
      <c r="H31" s="16"/>
      <c r="I31" s="17" t="str">
        <f aca="false">IF(B31="","",SUM(J31:N31))</f>
        <v/>
      </c>
      <c r="J31" s="18"/>
      <c r="K31" s="18"/>
      <c r="L31" s="17" t="str">
        <f aca="false">IF(K31="","",ROUND(K31*$P$4,2))</f>
        <v/>
      </c>
      <c r="M31" s="18"/>
      <c r="N31" s="17" t="str">
        <f aca="false">IF(M31="","",ROUND(M31*$P$5,2))</f>
        <v/>
      </c>
      <c r="O31" s="18"/>
      <c r="P31" s="16"/>
      <c r="Q31" s="18"/>
    </row>
    <row r="32" customFormat="false" ht="15" hidden="false" customHeight="false" outlineLevel="0" collapsed="false">
      <c r="A32" s="14" t="str">
        <f aca="false">IF(B32="","",ROW()-11)</f>
        <v/>
      </c>
      <c r="B32" s="15"/>
      <c r="C32" s="16"/>
      <c r="D32" s="16"/>
      <c r="E32" s="16"/>
      <c r="F32" s="16"/>
      <c r="G32" s="16"/>
      <c r="H32" s="16"/>
      <c r="I32" s="17" t="str">
        <f aca="false">IF(B32="","",SUM(J32:N32))</f>
        <v/>
      </c>
      <c r="J32" s="18"/>
      <c r="K32" s="18"/>
      <c r="L32" s="17" t="str">
        <f aca="false">IF(K32="","",ROUND(K32*$P$4,2))</f>
        <v/>
      </c>
      <c r="M32" s="18"/>
      <c r="N32" s="17" t="str">
        <f aca="false">IF(M32="","",ROUND(M32*$P$5,2))</f>
        <v/>
      </c>
      <c r="O32" s="18"/>
      <c r="P32" s="16"/>
      <c r="Q32" s="18"/>
    </row>
    <row r="33" customFormat="false" ht="15" hidden="false" customHeight="false" outlineLevel="0" collapsed="false">
      <c r="A33" s="14" t="str">
        <f aca="false">IF(B33="","",ROW()-11)</f>
        <v/>
      </c>
      <c r="B33" s="15"/>
      <c r="C33" s="16"/>
      <c r="D33" s="16"/>
      <c r="E33" s="16"/>
      <c r="F33" s="16"/>
      <c r="G33" s="16"/>
      <c r="H33" s="16"/>
      <c r="I33" s="17" t="str">
        <f aca="false">IF(B33="","",SUM(J33:N33))</f>
        <v/>
      </c>
      <c r="J33" s="18"/>
      <c r="K33" s="18"/>
      <c r="L33" s="17" t="str">
        <f aca="false">IF(K33="","",ROUND(K33*$P$4,2))</f>
        <v/>
      </c>
      <c r="M33" s="18"/>
      <c r="N33" s="17" t="str">
        <f aca="false">IF(M33="","",ROUND(M33*$P$5,2))</f>
        <v/>
      </c>
      <c r="O33" s="18"/>
      <c r="P33" s="16"/>
      <c r="Q33" s="18"/>
    </row>
    <row r="34" customFormat="false" ht="15" hidden="false" customHeight="false" outlineLevel="0" collapsed="false">
      <c r="A34" s="14" t="str">
        <f aca="false">IF(B34="","",ROW()-11)</f>
        <v/>
      </c>
      <c r="B34" s="15"/>
      <c r="C34" s="16"/>
      <c r="D34" s="16"/>
      <c r="E34" s="16"/>
      <c r="F34" s="16"/>
      <c r="G34" s="16"/>
      <c r="H34" s="16"/>
      <c r="I34" s="17" t="str">
        <f aca="false">IF(B34="","",SUM(J34:N34))</f>
        <v/>
      </c>
      <c r="J34" s="18"/>
      <c r="K34" s="18"/>
      <c r="L34" s="17" t="str">
        <f aca="false">IF(K34="","",ROUND(K34*$P$4,2))</f>
        <v/>
      </c>
      <c r="M34" s="18"/>
      <c r="N34" s="17" t="str">
        <f aca="false">IF(M34="","",ROUND(M34*$P$5,2))</f>
        <v/>
      </c>
      <c r="O34" s="18"/>
      <c r="P34" s="16"/>
      <c r="Q34" s="18"/>
    </row>
    <row r="35" customFormat="false" ht="15" hidden="false" customHeight="false" outlineLevel="0" collapsed="false">
      <c r="A35" s="14" t="str">
        <f aca="false">IF(B35="","",ROW()-11)</f>
        <v/>
      </c>
      <c r="B35" s="15"/>
      <c r="C35" s="16"/>
      <c r="D35" s="16"/>
      <c r="E35" s="16"/>
      <c r="F35" s="16"/>
      <c r="G35" s="16"/>
      <c r="H35" s="16"/>
      <c r="I35" s="17" t="str">
        <f aca="false">IF(B35="","",SUM(J35:N35))</f>
        <v/>
      </c>
      <c r="J35" s="18"/>
      <c r="K35" s="18"/>
      <c r="L35" s="17" t="str">
        <f aca="false">IF(K35="","",ROUND(K35*$P$4,2))</f>
        <v/>
      </c>
      <c r="M35" s="18"/>
      <c r="N35" s="17" t="str">
        <f aca="false">IF(M35="","",ROUND(M35*$P$5,2))</f>
        <v/>
      </c>
      <c r="O35" s="18"/>
      <c r="P35" s="16"/>
      <c r="Q35" s="18"/>
    </row>
    <row r="36" customFormat="false" ht="15" hidden="false" customHeight="false" outlineLevel="0" collapsed="false">
      <c r="A36" s="14" t="str">
        <f aca="false">IF(B36="","",ROW()-11)</f>
        <v/>
      </c>
      <c r="B36" s="15"/>
      <c r="C36" s="16"/>
      <c r="D36" s="16"/>
      <c r="E36" s="16"/>
      <c r="F36" s="16"/>
      <c r="G36" s="16"/>
      <c r="H36" s="16"/>
      <c r="I36" s="17" t="str">
        <f aca="false">IF(B36="","",SUM(J36:N36))</f>
        <v/>
      </c>
      <c r="J36" s="18"/>
      <c r="K36" s="18"/>
      <c r="L36" s="17" t="str">
        <f aca="false">IF(K36="","",ROUND(K36*$P$4,2))</f>
        <v/>
      </c>
      <c r="M36" s="18"/>
      <c r="N36" s="17" t="str">
        <f aca="false">IF(M36="","",ROUND(M36*$P$5,2))</f>
        <v/>
      </c>
      <c r="O36" s="18"/>
      <c r="P36" s="16"/>
      <c r="Q36" s="18"/>
    </row>
    <row r="37" customFormat="false" ht="15" hidden="false" customHeight="false" outlineLevel="0" collapsed="false">
      <c r="A37" s="14" t="str">
        <f aca="false">IF(B37="","",ROW()-11)</f>
        <v/>
      </c>
      <c r="B37" s="15"/>
      <c r="C37" s="16"/>
      <c r="D37" s="16"/>
      <c r="E37" s="16"/>
      <c r="F37" s="16"/>
      <c r="G37" s="16"/>
      <c r="H37" s="16"/>
      <c r="I37" s="17" t="str">
        <f aca="false">IF(B37="","",SUM(J37:N37))</f>
        <v/>
      </c>
      <c r="J37" s="18"/>
      <c r="K37" s="18"/>
      <c r="L37" s="17" t="str">
        <f aca="false">IF(K37="","",ROUND(K37*$P$4,2))</f>
        <v/>
      </c>
      <c r="M37" s="18"/>
      <c r="N37" s="17" t="str">
        <f aca="false">IF(M37="","",ROUND(M37*$P$5,2))</f>
        <v/>
      </c>
      <c r="O37" s="18"/>
      <c r="P37" s="16"/>
      <c r="Q37" s="18"/>
    </row>
    <row r="38" customFormat="false" ht="15" hidden="false" customHeight="false" outlineLevel="0" collapsed="false">
      <c r="A38" s="14" t="str">
        <f aca="false">IF(B38="","",ROW()-11)</f>
        <v/>
      </c>
      <c r="B38" s="15"/>
      <c r="C38" s="16"/>
      <c r="D38" s="16"/>
      <c r="E38" s="16"/>
      <c r="F38" s="16"/>
      <c r="G38" s="16"/>
      <c r="H38" s="16"/>
      <c r="I38" s="17" t="str">
        <f aca="false">IF(B38="","",SUM(J38:N38))</f>
        <v/>
      </c>
      <c r="J38" s="18"/>
      <c r="K38" s="18"/>
      <c r="L38" s="17" t="str">
        <f aca="false">IF(K38="","",ROUND(K38*$P$4,2))</f>
        <v/>
      </c>
      <c r="M38" s="18"/>
      <c r="N38" s="17" t="str">
        <f aca="false">IF(M38="","",ROUND(M38*$P$5,2))</f>
        <v/>
      </c>
      <c r="O38" s="18"/>
      <c r="P38" s="16"/>
      <c r="Q38" s="18"/>
    </row>
    <row r="39" customFormat="false" ht="15" hidden="false" customHeight="false" outlineLevel="0" collapsed="false">
      <c r="A39" s="14" t="str">
        <f aca="false">IF(B39="","",ROW()-11)</f>
        <v/>
      </c>
      <c r="B39" s="15"/>
      <c r="C39" s="16"/>
      <c r="D39" s="16"/>
      <c r="E39" s="16"/>
      <c r="F39" s="16"/>
      <c r="G39" s="16"/>
      <c r="H39" s="16"/>
      <c r="I39" s="17" t="str">
        <f aca="false">IF(B39="","",SUM(J39:N39))</f>
        <v/>
      </c>
      <c r="J39" s="18"/>
      <c r="K39" s="18"/>
      <c r="L39" s="17" t="str">
        <f aca="false">IF(K39="","",ROUND(K39*$P$4,2))</f>
        <v/>
      </c>
      <c r="M39" s="18"/>
      <c r="N39" s="17" t="str">
        <f aca="false">IF(M39="","",ROUND(M39*$P$5,2))</f>
        <v/>
      </c>
      <c r="O39" s="18"/>
      <c r="P39" s="16"/>
      <c r="Q39" s="18"/>
    </row>
    <row r="40" customFormat="false" ht="15" hidden="false" customHeight="false" outlineLevel="0" collapsed="false">
      <c r="A40" s="14" t="str">
        <f aca="false">IF(B40="","",ROW()-11)</f>
        <v/>
      </c>
      <c r="B40" s="15"/>
      <c r="C40" s="16"/>
      <c r="D40" s="16"/>
      <c r="E40" s="16"/>
      <c r="F40" s="16"/>
      <c r="G40" s="16"/>
      <c r="H40" s="16"/>
      <c r="I40" s="17" t="str">
        <f aca="false">IF(B40="","",SUM(J40:N40))</f>
        <v/>
      </c>
      <c r="J40" s="18"/>
      <c r="K40" s="18"/>
      <c r="L40" s="17" t="str">
        <f aca="false">IF(K40="","",ROUND(K40*$P$4,2))</f>
        <v/>
      </c>
      <c r="M40" s="18"/>
      <c r="N40" s="17" t="str">
        <f aca="false">IF(M40="","",ROUND(M40*$P$5,2))</f>
        <v/>
      </c>
      <c r="O40" s="18"/>
      <c r="P40" s="16"/>
      <c r="Q40" s="18"/>
    </row>
    <row r="41" customFormat="false" ht="15" hidden="false" customHeight="false" outlineLevel="0" collapsed="false">
      <c r="A41" s="14" t="str">
        <f aca="false">IF(B41="","",ROW()-11)</f>
        <v/>
      </c>
      <c r="B41" s="15"/>
      <c r="C41" s="16"/>
      <c r="D41" s="16"/>
      <c r="E41" s="16"/>
      <c r="F41" s="16"/>
      <c r="G41" s="16"/>
      <c r="H41" s="16"/>
      <c r="I41" s="17" t="str">
        <f aca="false">IF(B41="","",SUM(J41:N41))</f>
        <v/>
      </c>
      <c r="J41" s="18"/>
      <c r="K41" s="18"/>
      <c r="L41" s="17" t="str">
        <f aca="false">IF(K41="","",ROUND(K41*$P$4,2))</f>
        <v/>
      </c>
      <c r="M41" s="18"/>
      <c r="N41" s="17" t="str">
        <f aca="false">IF(M41="","",ROUND(M41*$P$5,2))</f>
        <v/>
      </c>
      <c r="O41" s="18"/>
      <c r="P41" s="16"/>
      <c r="Q41" s="18"/>
    </row>
    <row r="42" customFormat="false" ht="15" hidden="false" customHeight="false" outlineLevel="0" collapsed="false">
      <c r="A42" s="14" t="str">
        <f aca="false">IF(B42="","",ROW()-11)</f>
        <v/>
      </c>
      <c r="B42" s="15"/>
      <c r="C42" s="16"/>
      <c r="D42" s="16"/>
      <c r="E42" s="16"/>
      <c r="F42" s="16"/>
      <c r="G42" s="16"/>
      <c r="H42" s="16"/>
      <c r="I42" s="17" t="str">
        <f aca="false">IF(B42="","",SUM(J42:N42))</f>
        <v/>
      </c>
      <c r="J42" s="18"/>
      <c r="K42" s="18"/>
      <c r="L42" s="17" t="str">
        <f aca="false">IF(K42="","",ROUND(K42*$P$4,2))</f>
        <v/>
      </c>
      <c r="M42" s="18"/>
      <c r="N42" s="17" t="str">
        <f aca="false">IF(M42="","",ROUND(M42*$P$5,2))</f>
        <v/>
      </c>
      <c r="O42" s="18"/>
      <c r="P42" s="16"/>
      <c r="Q42" s="18"/>
    </row>
    <row r="43" customFormat="false" ht="15" hidden="false" customHeight="false" outlineLevel="0" collapsed="false">
      <c r="A43" s="14" t="str">
        <f aca="false">IF(B43="","",ROW()-11)</f>
        <v/>
      </c>
      <c r="B43" s="15"/>
      <c r="C43" s="16"/>
      <c r="D43" s="16"/>
      <c r="E43" s="16"/>
      <c r="F43" s="16"/>
      <c r="G43" s="16"/>
      <c r="H43" s="16"/>
      <c r="I43" s="17" t="str">
        <f aca="false">IF(B43="","",SUM(J43:N43))</f>
        <v/>
      </c>
      <c r="J43" s="18"/>
      <c r="K43" s="18"/>
      <c r="L43" s="17" t="str">
        <f aca="false">IF(K43="","",ROUND(K43*$P$4,2))</f>
        <v/>
      </c>
      <c r="M43" s="18"/>
      <c r="N43" s="17" t="str">
        <f aca="false">IF(M43="","",ROUND(M43*$P$5,2))</f>
        <v/>
      </c>
      <c r="O43" s="18"/>
      <c r="P43" s="16"/>
      <c r="Q43" s="18"/>
    </row>
    <row r="44" customFormat="false" ht="15" hidden="false" customHeight="false" outlineLevel="0" collapsed="false">
      <c r="A44" s="14" t="str">
        <f aca="false">IF(B44="","",ROW()-11)</f>
        <v/>
      </c>
      <c r="B44" s="15"/>
      <c r="C44" s="16"/>
      <c r="D44" s="16"/>
      <c r="E44" s="16"/>
      <c r="F44" s="16"/>
      <c r="G44" s="16"/>
      <c r="H44" s="16"/>
      <c r="I44" s="17" t="str">
        <f aca="false">IF(B44="","",SUM(J44:N44))</f>
        <v/>
      </c>
      <c r="J44" s="18"/>
      <c r="K44" s="18"/>
      <c r="L44" s="17" t="str">
        <f aca="false">IF(K44="","",ROUND(K44*$P$4,2))</f>
        <v/>
      </c>
      <c r="M44" s="18"/>
      <c r="N44" s="17" t="str">
        <f aca="false">IF(M44="","",ROUND(M44*$P$5,2))</f>
        <v/>
      </c>
      <c r="O44" s="18"/>
      <c r="P44" s="16"/>
      <c r="Q44" s="18"/>
    </row>
    <row r="45" customFormat="false" ht="15" hidden="false" customHeight="false" outlineLevel="0" collapsed="false">
      <c r="A45" s="14" t="str">
        <f aca="false">IF(B45="","",ROW()-11)</f>
        <v/>
      </c>
      <c r="B45" s="15"/>
      <c r="C45" s="16"/>
      <c r="D45" s="16"/>
      <c r="E45" s="16"/>
      <c r="F45" s="16"/>
      <c r="G45" s="16"/>
      <c r="H45" s="16"/>
      <c r="I45" s="17" t="str">
        <f aca="false">IF(B45="","",SUM(J45:N45))</f>
        <v/>
      </c>
      <c r="J45" s="18"/>
      <c r="K45" s="18"/>
      <c r="L45" s="17" t="str">
        <f aca="false">IF(K45="","",ROUND(K45*$P$4,2))</f>
        <v/>
      </c>
      <c r="M45" s="18"/>
      <c r="N45" s="17" t="str">
        <f aca="false">IF(M45="","",ROUND(M45*$P$5,2))</f>
        <v/>
      </c>
      <c r="O45" s="18"/>
      <c r="P45" s="16"/>
      <c r="Q45" s="18"/>
    </row>
    <row r="46" customFormat="false" ht="15" hidden="false" customHeight="false" outlineLevel="0" collapsed="false">
      <c r="A46" s="14" t="str">
        <f aca="false">IF(B46="","",ROW()-11)</f>
        <v/>
      </c>
      <c r="B46" s="15"/>
      <c r="C46" s="16"/>
      <c r="D46" s="16"/>
      <c r="E46" s="16"/>
      <c r="F46" s="16"/>
      <c r="G46" s="16"/>
      <c r="H46" s="16"/>
      <c r="I46" s="17" t="str">
        <f aca="false">IF(B46="","",SUM(J46:N46))</f>
        <v/>
      </c>
      <c r="J46" s="18"/>
      <c r="K46" s="18"/>
      <c r="L46" s="17" t="str">
        <f aca="false">IF(K46="","",ROUND(K46*$P$4,2))</f>
        <v/>
      </c>
      <c r="M46" s="18"/>
      <c r="N46" s="17" t="str">
        <f aca="false">IF(M46="","",ROUND(M46*$P$5,2))</f>
        <v/>
      </c>
      <c r="O46" s="18"/>
      <c r="P46" s="16"/>
      <c r="Q46" s="18"/>
    </row>
    <row r="47" customFormat="false" ht="15" hidden="false" customHeight="false" outlineLevel="0" collapsed="false">
      <c r="A47" s="14" t="str">
        <f aca="false">IF(B47="","",ROW()-11)</f>
        <v/>
      </c>
      <c r="B47" s="15"/>
      <c r="C47" s="16"/>
      <c r="D47" s="16"/>
      <c r="E47" s="16"/>
      <c r="F47" s="16"/>
      <c r="G47" s="16"/>
      <c r="H47" s="16"/>
      <c r="I47" s="17" t="str">
        <f aca="false">IF(B47="","",SUM(J47:N47))</f>
        <v/>
      </c>
      <c r="J47" s="18"/>
      <c r="K47" s="18"/>
      <c r="L47" s="17" t="str">
        <f aca="false">IF(K47="","",ROUND(K47*$P$4,2))</f>
        <v/>
      </c>
      <c r="M47" s="18"/>
      <c r="N47" s="17" t="str">
        <f aca="false">IF(M47="","",ROUND(M47*$P$5,2))</f>
        <v/>
      </c>
      <c r="O47" s="18"/>
      <c r="P47" s="16"/>
      <c r="Q47" s="18"/>
    </row>
    <row r="48" customFormat="false" ht="15" hidden="false" customHeight="false" outlineLevel="0" collapsed="false">
      <c r="A48" s="14" t="str">
        <f aca="false">IF(B48="","",ROW()-11)</f>
        <v/>
      </c>
      <c r="B48" s="15"/>
      <c r="C48" s="16"/>
      <c r="D48" s="16"/>
      <c r="E48" s="16"/>
      <c r="F48" s="16"/>
      <c r="G48" s="16"/>
      <c r="H48" s="16"/>
      <c r="I48" s="17" t="str">
        <f aca="false">IF(B48="","",SUM(J48:N48))</f>
        <v/>
      </c>
      <c r="J48" s="18"/>
      <c r="K48" s="18"/>
      <c r="L48" s="17" t="str">
        <f aca="false">IF(K48="","",ROUND(K48*$P$4,2))</f>
        <v/>
      </c>
      <c r="M48" s="18"/>
      <c r="N48" s="17" t="str">
        <f aca="false">IF(M48="","",ROUND(M48*$P$5,2))</f>
        <v/>
      </c>
      <c r="O48" s="18"/>
      <c r="P48" s="16"/>
      <c r="Q48" s="18"/>
    </row>
    <row r="49" customFormat="false" ht="15" hidden="false" customHeight="false" outlineLevel="0" collapsed="false">
      <c r="A49" s="14" t="str">
        <f aca="false">IF(B49="","",ROW()-11)</f>
        <v/>
      </c>
      <c r="B49" s="15"/>
      <c r="C49" s="16"/>
      <c r="D49" s="16"/>
      <c r="E49" s="16"/>
      <c r="F49" s="16"/>
      <c r="G49" s="16"/>
      <c r="H49" s="16"/>
      <c r="I49" s="17" t="str">
        <f aca="false">IF(B49="","",SUM(J49:N49))</f>
        <v/>
      </c>
      <c r="J49" s="18"/>
      <c r="K49" s="18"/>
      <c r="L49" s="17" t="str">
        <f aca="false">IF(K49="","",ROUND(K49*$P$4,2))</f>
        <v/>
      </c>
      <c r="M49" s="18"/>
      <c r="N49" s="17" t="str">
        <f aca="false">IF(M49="","",ROUND(M49*$P$5,2))</f>
        <v/>
      </c>
      <c r="O49" s="18"/>
      <c r="P49" s="16"/>
      <c r="Q49" s="18"/>
    </row>
    <row r="50" customFormat="false" ht="15" hidden="false" customHeight="false" outlineLevel="0" collapsed="false">
      <c r="A50" s="14" t="str">
        <f aca="false">IF(B50="","",ROW()-11)</f>
        <v/>
      </c>
      <c r="B50" s="15"/>
      <c r="C50" s="16"/>
      <c r="D50" s="16"/>
      <c r="E50" s="16"/>
      <c r="F50" s="16"/>
      <c r="G50" s="16"/>
      <c r="H50" s="16"/>
      <c r="I50" s="17" t="str">
        <f aca="false">IF(B50="","",SUM(J50:N50))</f>
        <v/>
      </c>
      <c r="J50" s="18"/>
      <c r="K50" s="18"/>
      <c r="L50" s="17" t="str">
        <f aca="false">IF(K50="","",ROUND(K50*$P$4,2))</f>
        <v/>
      </c>
      <c r="M50" s="18"/>
      <c r="N50" s="17" t="str">
        <f aca="false">IF(M50="","",ROUND(M50*$P$5,2))</f>
        <v/>
      </c>
      <c r="O50" s="18"/>
      <c r="P50" s="16"/>
      <c r="Q50" s="18"/>
    </row>
    <row r="51" customFormat="false" ht="15" hidden="false" customHeight="false" outlineLevel="0" collapsed="false">
      <c r="A51" s="14" t="str">
        <f aca="false">IF(B51="","",ROW()-11)</f>
        <v/>
      </c>
      <c r="B51" s="15"/>
      <c r="C51" s="16"/>
      <c r="D51" s="16"/>
      <c r="E51" s="16"/>
      <c r="F51" s="16"/>
      <c r="G51" s="16"/>
      <c r="H51" s="16"/>
      <c r="I51" s="17" t="str">
        <f aca="false">IF(B51="","",SUM(J51:N51))</f>
        <v/>
      </c>
      <c r="J51" s="18"/>
      <c r="K51" s="18"/>
      <c r="L51" s="17" t="str">
        <f aca="false">IF(K51="","",ROUND(K51*$P$4,2))</f>
        <v/>
      </c>
      <c r="M51" s="18"/>
      <c r="N51" s="17" t="str">
        <f aca="false">IF(M51="","",ROUND(M51*$P$5,2))</f>
        <v/>
      </c>
      <c r="O51" s="18"/>
      <c r="P51" s="16"/>
      <c r="Q51" s="18"/>
    </row>
    <row r="52" customFormat="false" ht="15" hidden="false" customHeight="false" outlineLevel="0" collapsed="false">
      <c r="A52" s="14" t="str">
        <f aca="false">IF(B52="","",ROW()-11)</f>
        <v/>
      </c>
      <c r="B52" s="15"/>
      <c r="C52" s="16"/>
      <c r="D52" s="16"/>
      <c r="E52" s="16"/>
      <c r="F52" s="16"/>
      <c r="G52" s="16"/>
      <c r="H52" s="16"/>
      <c r="I52" s="17" t="str">
        <f aca="false">IF(B52="","",SUM(J52:N52))</f>
        <v/>
      </c>
      <c r="J52" s="18"/>
      <c r="K52" s="18"/>
      <c r="L52" s="17" t="str">
        <f aca="false">IF(K52="","",ROUND(K52*$P$4,2))</f>
        <v/>
      </c>
      <c r="M52" s="18"/>
      <c r="N52" s="17" t="str">
        <f aca="false">IF(M52="","",ROUND(M52*$P$5,2))</f>
        <v/>
      </c>
      <c r="O52" s="18"/>
      <c r="P52" s="16"/>
      <c r="Q52" s="18"/>
    </row>
    <row r="53" customFormat="false" ht="15" hidden="false" customHeight="false" outlineLevel="0" collapsed="false">
      <c r="A53" s="14" t="str">
        <f aca="false">IF(B53="","",ROW()-11)</f>
        <v/>
      </c>
      <c r="B53" s="15"/>
      <c r="C53" s="16"/>
      <c r="D53" s="16"/>
      <c r="E53" s="16"/>
      <c r="F53" s="16"/>
      <c r="G53" s="16"/>
      <c r="H53" s="16"/>
      <c r="I53" s="17" t="str">
        <f aca="false">IF(B53="","",SUM(J53:N53))</f>
        <v/>
      </c>
      <c r="J53" s="18"/>
      <c r="K53" s="18"/>
      <c r="L53" s="17" t="str">
        <f aca="false">IF(K53="","",ROUND(K53*$P$4,2))</f>
        <v/>
      </c>
      <c r="M53" s="18"/>
      <c r="N53" s="17" t="str">
        <f aca="false">IF(M53="","",ROUND(M53*$P$5,2))</f>
        <v/>
      </c>
      <c r="O53" s="18"/>
      <c r="P53" s="16"/>
      <c r="Q53" s="18"/>
    </row>
    <row r="54" customFormat="false" ht="15" hidden="false" customHeight="false" outlineLevel="0" collapsed="false">
      <c r="A54" s="14" t="str">
        <f aca="false">IF(B54="","",ROW()-11)</f>
        <v/>
      </c>
      <c r="B54" s="15"/>
      <c r="C54" s="16"/>
      <c r="D54" s="16"/>
      <c r="E54" s="16"/>
      <c r="F54" s="16"/>
      <c r="G54" s="16"/>
      <c r="H54" s="16"/>
      <c r="I54" s="17" t="str">
        <f aca="false">IF(B54="","",SUM(J54:N54))</f>
        <v/>
      </c>
      <c r="J54" s="18"/>
      <c r="K54" s="18"/>
      <c r="L54" s="17" t="str">
        <f aca="false">IF(K54="","",ROUND(K54*$P$4,2))</f>
        <v/>
      </c>
      <c r="M54" s="18"/>
      <c r="N54" s="17" t="str">
        <f aca="false">IF(M54="","",ROUND(M54*$P$5,2))</f>
        <v/>
      </c>
      <c r="O54" s="18"/>
      <c r="P54" s="16"/>
      <c r="Q54" s="18"/>
    </row>
    <row r="55" customFormat="false" ht="15" hidden="false" customHeight="false" outlineLevel="0" collapsed="false">
      <c r="A55" s="14" t="str">
        <f aca="false">IF(B55="","",ROW()-11)</f>
        <v/>
      </c>
      <c r="B55" s="15"/>
      <c r="C55" s="16"/>
      <c r="D55" s="16"/>
      <c r="E55" s="16"/>
      <c r="F55" s="16"/>
      <c r="G55" s="16"/>
      <c r="H55" s="16"/>
      <c r="I55" s="17" t="str">
        <f aca="false">IF(B55="","",SUM(J55:N55))</f>
        <v/>
      </c>
      <c r="J55" s="18"/>
      <c r="K55" s="18"/>
      <c r="L55" s="17" t="str">
        <f aca="false">IF(K55="","",ROUND(K55*$P$4,2))</f>
        <v/>
      </c>
      <c r="M55" s="18"/>
      <c r="N55" s="17" t="str">
        <f aca="false">IF(M55="","",ROUND(M55*$P$5,2))</f>
        <v/>
      </c>
      <c r="O55" s="18"/>
      <c r="P55" s="16"/>
      <c r="Q55" s="18"/>
    </row>
    <row r="56" customFormat="false" ht="15" hidden="false" customHeight="false" outlineLevel="0" collapsed="false">
      <c r="A56" s="14" t="str">
        <f aca="false">IF(B56="","",ROW()-11)</f>
        <v/>
      </c>
      <c r="B56" s="15"/>
      <c r="C56" s="16"/>
      <c r="D56" s="16"/>
      <c r="E56" s="16"/>
      <c r="F56" s="16"/>
      <c r="G56" s="16"/>
      <c r="H56" s="16"/>
      <c r="I56" s="17" t="str">
        <f aca="false">IF(B56="","",SUM(J56:N56))</f>
        <v/>
      </c>
      <c r="J56" s="18"/>
      <c r="K56" s="18"/>
      <c r="L56" s="17" t="str">
        <f aca="false">IF(K56="","",ROUND(K56*$P$4,2))</f>
        <v/>
      </c>
      <c r="M56" s="18"/>
      <c r="N56" s="17" t="str">
        <f aca="false">IF(M56="","",ROUND(M56*$P$5,2))</f>
        <v/>
      </c>
      <c r="O56" s="18"/>
      <c r="P56" s="16"/>
      <c r="Q56" s="18"/>
    </row>
    <row r="57" customFormat="false" ht="15" hidden="false" customHeight="false" outlineLevel="0" collapsed="false">
      <c r="A57" s="14" t="str">
        <f aca="false">IF(B57="","",ROW()-11)</f>
        <v/>
      </c>
      <c r="B57" s="15"/>
      <c r="C57" s="16"/>
      <c r="D57" s="16"/>
      <c r="E57" s="16"/>
      <c r="F57" s="16"/>
      <c r="G57" s="16"/>
      <c r="H57" s="16"/>
      <c r="I57" s="17" t="str">
        <f aca="false">IF(B57="","",SUM(J57:N57))</f>
        <v/>
      </c>
      <c r="J57" s="18"/>
      <c r="K57" s="18"/>
      <c r="L57" s="17" t="str">
        <f aca="false">IF(K57="","",ROUND(K57*$P$4,2))</f>
        <v/>
      </c>
      <c r="M57" s="18"/>
      <c r="N57" s="17" t="str">
        <f aca="false">IF(M57="","",ROUND(M57*$P$5,2))</f>
        <v/>
      </c>
      <c r="O57" s="18"/>
      <c r="P57" s="16"/>
      <c r="Q57" s="18"/>
    </row>
    <row r="58" customFormat="false" ht="15" hidden="false" customHeight="false" outlineLevel="0" collapsed="false">
      <c r="A58" s="14" t="str">
        <f aca="false">IF(B58="","",ROW()-11)</f>
        <v/>
      </c>
      <c r="B58" s="15"/>
      <c r="C58" s="16"/>
      <c r="D58" s="16"/>
      <c r="E58" s="16"/>
      <c r="F58" s="16"/>
      <c r="G58" s="16"/>
      <c r="H58" s="16"/>
      <c r="I58" s="17" t="str">
        <f aca="false">IF(B58="","",SUM(J58:N58))</f>
        <v/>
      </c>
      <c r="J58" s="18"/>
      <c r="K58" s="18"/>
      <c r="L58" s="17" t="str">
        <f aca="false">IF(K58="","",ROUND(K58*$P$4,2))</f>
        <v/>
      </c>
      <c r="M58" s="18"/>
      <c r="N58" s="17" t="str">
        <f aca="false">IF(M58="","",ROUND(M58*$P$5,2))</f>
        <v/>
      </c>
      <c r="O58" s="18"/>
      <c r="P58" s="16"/>
      <c r="Q58" s="18"/>
    </row>
    <row r="59" customFormat="false" ht="15" hidden="false" customHeight="false" outlineLevel="0" collapsed="false">
      <c r="A59" s="14" t="str">
        <f aca="false">IF(B59="","",ROW()-11)</f>
        <v/>
      </c>
      <c r="B59" s="15"/>
      <c r="C59" s="16"/>
      <c r="D59" s="16"/>
      <c r="E59" s="16"/>
      <c r="F59" s="16"/>
      <c r="G59" s="16"/>
      <c r="H59" s="16"/>
      <c r="I59" s="17" t="str">
        <f aca="false">IF(B59="","",SUM(J59:N59))</f>
        <v/>
      </c>
      <c r="J59" s="18"/>
      <c r="K59" s="18"/>
      <c r="L59" s="17" t="str">
        <f aca="false">IF(K59="","",ROUND(K59*$P$4,2))</f>
        <v/>
      </c>
      <c r="M59" s="18"/>
      <c r="N59" s="17" t="str">
        <f aca="false">IF(M59="","",ROUND(M59*$P$5,2))</f>
        <v/>
      </c>
      <c r="O59" s="18"/>
      <c r="P59" s="16"/>
      <c r="Q59" s="18"/>
    </row>
    <row r="60" customFormat="false" ht="15" hidden="false" customHeight="false" outlineLevel="0" collapsed="false">
      <c r="A60" s="14" t="str">
        <f aca="false">IF(B60="","",ROW()-11)</f>
        <v/>
      </c>
      <c r="B60" s="15"/>
      <c r="C60" s="16"/>
      <c r="D60" s="16"/>
      <c r="E60" s="16"/>
      <c r="F60" s="16"/>
      <c r="G60" s="16"/>
      <c r="H60" s="16"/>
      <c r="I60" s="17" t="str">
        <f aca="false">IF(B60="","",SUM(J60:N60))</f>
        <v/>
      </c>
      <c r="J60" s="18"/>
      <c r="K60" s="18"/>
      <c r="L60" s="17" t="str">
        <f aca="false">IF(K60="","",ROUND(K60*$P$4,2))</f>
        <v/>
      </c>
      <c r="M60" s="18"/>
      <c r="N60" s="17" t="str">
        <f aca="false">IF(M60="","",ROUND(M60*$P$5,2))</f>
        <v/>
      </c>
      <c r="O60" s="18"/>
      <c r="P60" s="16"/>
      <c r="Q60" s="18"/>
    </row>
    <row r="61" customFormat="false" ht="15" hidden="false" customHeight="false" outlineLevel="0" collapsed="false">
      <c r="A61" s="14" t="str">
        <f aca="false">IF(B61="","",ROW()-11)</f>
        <v/>
      </c>
      <c r="B61" s="15"/>
      <c r="C61" s="16"/>
      <c r="D61" s="16"/>
      <c r="E61" s="16"/>
      <c r="F61" s="16"/>
      <c r="G61" s="16"/>
      <c r="H61" s="16"/>
      <c r="I61" s="17" t="str">
        <f aca="false">IF(B61="","",SUM(J61:N61))</f>
        <v/>
      </c>
      <c r="J61" s="18"/>
      <c r="K61" s="18"/>
      <c r="L61" s="17" t="str">
        <f aca="false">IF(K61="","",ROUND(K61*$P$4,2))</f>
        <v/>
      </c>
      <c r="M61" s="18"/>
      <c r="N61" s="17" t="str">
        <f aca="false">IF(M61="","",ROUND(M61*$P$5,2))</f>
        <v/>
      </c>
      <c r="O61" s="18"/>
      <c r="P61" s="16"/>
      <c r="Q61" s="18"/>
    </row>
    <row r="62" customFormat="false" ht="15" hidden="false" customHeight="false" outlineLevel="0" collapsed="false">
      <c r="A62" s="14" t="str">
        <f aca="false">IF(B62="","",ROW()-11)</f>
        <v/>
      </c>
      <c r="B62" s="15"/>
      <c r="C62" s="16"/>
      <c r="D62" s="16"/>
      <c r="E62" s="16"/>
      <c r="F62" s="16"/>
      <c r="G62" s="16"/>
      <c r="H62" s="16"/>
      <c r="I62" s="17" t="str">
        <f aca="false">IF(B62="","",SUM(J62:N62))</f>
        <v/>
      </c>
      <c r="J62" s="18"/>
      <c r="K62" s="18"/>
      <c r="L62" s="17" t="str">
        <f aca="false">IF(K62="","",ROUND(K62*$P$4,2))</f>
        <v/>
      </c>
      <c r="M62" s="18"/>
      <c r="N62" s="17" t="str">
        <f aca="false">IF(M62="","",ROUND(M62*$P$5,2))</f>
        <v/>
      </c>
      <c r="O62" s="18"/>
      <c r="P62" s="16"/>
      <c r="Q62" s="18"/>
    </row>
    <row r="63" customFormat="false" ht="15" hidden="false" customHeight="false" outlineLevel="0" collapsed="false">
      <c r="A63" s="14" t="str">
        <f aca="false">IF(B63="","",ROW()-11)</f>
        <v/>
      </c>
      <c r="B63" s="15"/>
      <c r="C63" s="16"/>
      <c r="D63" s="16"/>
      <c r="E63" s="16"/>
      <c r="F63" s="16"/>
      <c r="G63" s="16"/>
      <c r="H63" s="16"/>
      <c r="I63" s="17" t="str">
        <f aca="false">IF(B63="","",SUM(J63:N63))</f>
        <v/>
      </c>
      <c r="J63" s="18"/>
      <c r="K63" s="18"/>
      <c r="L63" s="17" t="str">
        <f aca="false">IF(K63="","",ROUND(K63*$P$4,2))</f>
        <v/>
      </c>
      <c r="M63" s="18"/>
      <c r="N63" s="17" t="str">
        <f aca="false">IF(M63="","",ROUND(M63*$P$5,2))</f>
        <v/>
      </c>
      <c r="O63" s="18"/>
      <c r="P63" s="16"/>
      <c r="Q63" s="18"/>
    </row>
    <row r="64" customFormat="false" ht="15" hidden="false" customHeight="false" outlineLevel="0" collapsed="false">
      <c r="A64" s="14" t="str">
        <f aca="false">IF(B64="","",ROW()-11)</f>
        <v/>
      </c>
      <c r="B64" s="15"/>
      <c r="C64" s="16"/>
      <c r="D64" s="16"/>
      <c r="E64" s="16"/>
      <c r="F64" s="16"/>
      <c r="G64" s="16"/>
      <c r="H64" s="16"/>
      <c r="I64" s="17" t="str">
        <f aca="false">IF(B64="","",SUM(J64:N64))</f>
        <v/>
      </c>
      <c r="J64" s="18"/>
      <c r="K64" s="18"/>
      <c r="L64" s="17" t="str">
        <f aca="false">IF(K64="","",ROUND(K64*$P$4,2))</f>
        <v/>
      </c>
      <c r="M64" s="18"/>
      <c r="N64" s="17" t="str">
        <f aca="false">IF(M64="","",ROUND(M64*$P$5,2))</f>
        <v/>
      </c>
      <c r="O64" s="18"/>
      <c r="P64" s="16"/>
      <c r="Q64" s="18"/>
    </row>
    <row r="65" customFormat="false" ht="15" hidden="false" customHeight="false" outlineLevel="0" collapsed="false">
      <c r="A65" s="14" t="str">
        <f aca="false">IF(B65="","",ROW()-11)</f>
        <v/>
      </c>
      <c r="B65" s="15"/>
      <c r="C65" s="16"/>
      <c r="D65" s="16"/>
      <c r="E65" s="16"/>
      <c r="F65" s="16"/>
      <c r="G65" s="16"/>
      <c r="H65" s="16"/>
      <c r="I65" s="17" t="str">
        <f aca="false">IF(B65="","",SUM(J65:N65))</f>
        <v/>
      </c>
      <c r="J65" s="18"/>
      <c r="K65" s="18"/>
      <c r="L65" s="17" t="str">
        <f aca="false">IF(K65="","",ROUND(K65*$P$4,2))</f>
        <v/>
      </c>
      <c r="M65" s="18"/>
      <c r="N65" s="17" t="str">
        <f aca="false">IF(M65="","",ROUND(M65*$P$5,2))</f>
        <v/>
      </c>
      <c r="O65" s="18"/>
      <c r="P65" s="16"/>
      <c r="Q65" s="18"/>
    </row>
    <row r="66" customFormat="false" ht="15" hidden="false" customHeight="false" outlineLevel="0" collapsed="false">
      <c r="A66" s="14" t="str">
        <f aca="false">IF(B66="","",ROW()-11)</f>
        <v/>
      </c>
      <c r="B66" s="15"/>
      <c r="C66" s="16"/>
      <c r="D66" s="16"/>
      <c r="E66" s="16"/>
      <c r="F66" s="16"/>
      <c r="G66" s="16"/>
      <c r="H66" s="16"/>
      <c r="I66" s="17" t="str">
        <f aca="false">IF(B66="","",SUM(J66:N66))</f>
        <v/>
      </c>
      <c r="J66" s="18"/>
      <c r="K66" s="18"/>
      <c r="L66" s="17" t="str">
        <f aca="false">IF(K66="","",ROUND(K66*$P$4,2))</f>
        <v/>
      </c>
      <c r="M66" s="18"/>
      <c r="N66" s="17" t="str">
        <f aca="false">IF(M66="","",ROUND(M66*$P$5,2))</f>
        <v/>
      </c>
      <c r="O66" s="18"/>
      <c r="P66" s="16"/>
      <c r="Q66" s="18"/>
    </row>
    <row r="67" customFormat="false" ht="15" hidden="false" customHeight="false" outlineLevel="0" collapsed="false">
      <c r="A67" s="14" t="str">
        <f aca="false">IF(B67="","",ROW()-11)</f>
        <v/>
      </c>
      <c r="B67" s="15"/>
      <c r="C67" s="16"/>
      <c r="D67" s="16"/>
      <c r="E67" s="16"/>
      <c r="F67" s="16"/>
      <c r="G67" s="16"/>
      <c r="H67" s="16"/>
      <c r="I67" s="17" t="str">
        <f aca="false">IF(B67="","",SUM(J67:N67))</f>
        <v/>
      </c>
      <c r="J67" s="18"/>
      <c r="K67" s="18"/>
      <c r="L67" s="17" t="str">
        <f aca="false">IF(K67="","",ROUND(K67*$P$4,2))</f>
        <v/>
      </c>
      <c r="M67" s="18"/>
      <c r="N67" s="17" t="str">
        <f aca="false">IF(M67="","",ROUND(M67*$P$5,2))</f>
        <v/>
      </c>
      <c r="O67" s="18"/>
      <c r="P67" s="16"/>
      <c r="Q67" s="18"/>
    </row>
    <row r="68" customFormat="false" ht="15" hidden="false" customHeight="false" outlineLevel="0" collapsed="false">
      <c r="A68" s="14" t="str">
        <f aca="false">IF(B68="","",ROW()-11)</f>
        <v/>
      </c>
      <c r="B68" s="15"/>
      <c r="C68" s="16"/>
      <c r="D68" s="16"/>
      <c r="E68" s="16"/>
      <c r="F68" s="16"/>
      <c r="G68" s="16"/>
      <c r="H68" s="16"/>
      <c r="I68" s="17" t="str">
        <f aca="false">IF(B68="","",SUM(J68:N68))</f>
        <v/>
      </c>
      <c r="J68" s="18"/>
      <c r="K68" s="18"/>
      <c r="L68" s="17" t="str">
        <f aca="false">IF(K68="","",ROUND(K68*$P$4,2))</f>
        <v/>
      </c>
      <c r="M68" s="18"/>
      <c r="N68" s="17" t="str">
        <f aca="false">IF(M68="","",ROUND(M68*$P$5,2))</f>
        <v/>
      </c>
      <c r="O68" s="18"/>
      <c r="P68" s="16"/>
      <c r="Q68" s="18"/>
    </row>
    <row r="69" customFormat="false" ht="15" hidden="false" customHeight="false" outlineLevel="0" collapsed="false">
      <c r="A69" s="14" t="str">
        <f aca="false">IF(B69="","",ROW()-11)</f>
        <v/>
      </c>
      <c r="B69" s="15"/>
      <c r="C69" s="16"/>
      <c r="D69" s="16"/>
      <c r="E69" s="16"/>
      <c r="F69" s="16"/>
      <c r="G69" s="16"/>
      <c r="H69" s="16"/>
      <c r="I69" s="17" t="str">
        <f aca="false">IF(B69="","",SUM(J69:N69))</f>
        <v/>
      </c>
      <c r="J69" s="18"/>
      <c r="K69" s="18"/>
      <c r="L69" s="17" t="str">
        <f aca="false">IF(K69="","",ROUND(K69*$P$4,2))</f>
        <v/>
      </c>
      <c r="M69" s="18"/>
      <c r="N69" s="17" t="str">
        <f aca="false">IF(M69="","",ROUND(M69*$P$5,2))</f>
        <v/>
      </c>
      <c r="O69" s="18"/>
      <c r="P69" s="16"/>
      <c r="Q69" s="18"/>
    </row>
    <row r="70" customFormat="false" ht="15" hidden="false" customHeight="false" outlineLevel="0" collapsed="false">
      <c r="A70" s="14" t="str">
        <f aca="false">IF(B70="","",ROW()-11)</f>
        <v/>
      </c>
      <c r="B70" s="15"/>
      <c r="C70" s="16"/>
      <c r="D70" s="16"/>
      <c r="E70" s="16"/>
      <c r="F70" s="16"/>
      <c r="G70" s="16"/>
      <c r="H70" s="16"/>
      <c r="I70" s="17" t="str">
        <f aca="false">IF(B70="","",SUM(J70:N70))</f>
        <v/>
      </c>
      <c r="J70" s="18"/>
      <c r="K70" s="18"/>
      <c r="L70" s="17" t="str">
        <f aca="false">IF(K70="","",ROUND(K70*$P$4,2))</f>
        <v/>
      </c>
      <c r="M70" s="18"/>
      <c r="N70" s="17" t="str">
        <f aca="false">IF(M70="","",ROUND(M70*$P$5,2))</f>
        <v/>
      </c>
      <c r="O70" s="18"/>
      <c r="P70" s="16"/>
      <c r="Q70" s="18"/>
    </row>
    <row r="71" customFormat="false" ht="15" hidden="false" customHeight="false" outlineLevel="0" collapsed="false">
      <c r="A71" s="14" t="str">
        <f aca="false">IF(B71="","",ROW()-11)</f>
        <v/>
      </c>
      <c r="B71" s="15"/>
      <c r="C71" s="16"/>
      <c r="D71" s="16"/>
      <c r="E71" s="16"/>
      <c r="F71" s="16"/>
      <c r="G71" s="16"/>
      <c r="H71" s="16"/>
      <c r="I71" s="17" t="str">
        <f aca="false">IF(B71="","",SUM(J71:N71))</f>
        <v/>
      </c>
      <c r="J71" s="18"/>
      <c r="K71" s="18"/>
      <c r="L71" s="17" t="str">
        <f aca="false">IF(K71="","",ROUND(K71*$P$4,2))</f>
        <v/>
      </c>
      <c r="M71" s="18"/>
      <c r="N71" s="17" t="str">
        <f aca="false">IF(M71="","",ROUND(M71*$P$5,2))</f>
        <v/>
      </c>
      <c r="O71" s="18"/>
      <c r="P71" s="16"/>
      <c r="Q71" s="18"/>
    </row>
    <row r="72" customFormat="false" ht="15" hidden="false" customHeight="false" outlineLevel="0" collapsed="false">
      <c r="A72" s="14" t="str">
        <f aca="false">IF(B72="","",ROW()-11)</f>
        <v/>
      </c>
      <c r="B72" s="15"/>
      <c r="C72" s="16"/>
      <c r="D72" s="16"/>
      <c r="E72" s="16"/>
      <c r="F72" s="16"/>
      <c r="G72" s="16"/>
      <c r="H72" s="16"/>
      <c r="I72" s="17" t="str">
        <f aca="false">IF(B72="","",SUM(J72:N72))</f>
        <v/>
      </c>
      <c r="J72" s="18"/>
      <c r="K72" s="18"/>
      <c r="L72" s="17" t="str">
        <f aca="false">IF(K72="","",ROUND(K72*$P$4,2))</f>
        <v/>
      </c>
      <c r="M72" s="18"/>
      <c r="N72" s="17" t="str">
        <f aca="false">IF(M72="","",ROUND(M72*$P$5,2))</f>
        <v/>
      </c>
      <c r="O72" s="18"/>
      <c r="P72" s="16"/>
      <c r="Q72" s="18"/>
    </row>
    <row r="73" customFormat="false" ht="15" hidden="false" customHeight="false" outlineLevel="0" collapsed="false">
      <c r="A73" s="14" t="str">
        <f aca="false">IF(B73="","",ROW()-11)</f>
        <v/>
      </c>
      <c r="B73" s="15"/>
      <c r="C73" s="16"/>
      <c r="D73" s="16"/>
      <c r="E73" s="16"/>
      <c r="F73" s="16"/>
      <c r="G73" s="16"/>
      <c r="H73" s="16"/>
      <c r="I73" s="17" t="str">
        <f aca="false">IF(B73="","",SUM(J73:N73))</f>
        <v/>
      </c>
      <c r="J73" s="18"/>
      <c r="K73" s="18"/>
      <c r="L73" s="17" t="str">
        <f aca="false">IF(K73="","",ROUND(K73*$P$4,2))</f>
        <v/>
      </c>
      <c r="M73" s="18"/>
      <c r="N73" s="17" t="str">
        <f aca="false">IF(M73="","",ROUND(M73*$P$5,2))</f>
        <v/>
      </c>
      <c r="O73" s="18"/>
      <c r="P73" s="16"/>
      <c r="Q73" s="18"/>
    </row>
    <row r="74" customFormat="false" ht="15" hidden="false" customHeight="false" outlineLevel="0" collapsed="false">
      <c r="A74" s="14" t="str">
        <f aca="false">IF(B74="","",ROW()-11)</f>
        <v/>
      </c>
      <c r="B74" s="15"/>
      <c r="C74" s="16"/>
      <c r="D74" s="16"/>
      <c r="E74" s="16"/>
      <c r="F74" s="16"/>
      <c r="G74" s="16"/>
      <c r="H74" s="16"/>
      <c r="I74" s="17" t="str">
        <f aca="false">IF(B74="","",SUM(J74:N74))</f>
        <v/>
      </c>
      <c r="J74" s="18"/>
      <c r="K74" s="18"/>
      <c r="L74" s="17" t="str">
        <f aca="false">IF(K74="","",ROUND(K74*$P$4,2))</f>
        <v/>
      </c>
      <c r="M74" s="18"/>
      <c r="N74" s="17" t="str">
        <f aca="false">IF(M74="","",ROUND(M74*$P$5,2))</f>
        <v/>
      </c>
      <c r="O74" s="18"/>
      <c r="P74" s="16"/>
      <c r="Q74" s="18"/>
    </row>
    <row r="75" customFormat="false" ht="15" hidden="false" customHeight="false" outlineLevel="0" collapsed="false">
      <c r="A75" s="14" t="str">
        <f aca="false">IF(B75="","",ROW()-11)</f>
        <v/>
      </c>
      <c r="B75" s="15"/>
      <c r="C75" s="16"/>
      <c r="D75" s="16"/>
      <c r="E75" s="16"/>
      <c r="F75" s="16"/>
      <c r="G75" s="16"/>
      <c r="H75" s="16"/>
      <c r="I75" s="17" t="str">
        <f aca="false">IF(B75="","",SUM(J75:N75))</f>
        <v/>
      </c>
      <c r="J75" s="18"/>
      <c r="K75" s="18"/>
      <c r="L75" s="17" t="str">
        <f aca="false">IF(K75="","",ROUND(K75*$P$4,2))</f>
        <v/>
      </c>
      <c r="M75" s="18"/>
      <c r="N75" s="17" t="str">
        <f aca="false">IF(M75="","",ROUND(M75*$P$5,2))</f>
        <v/>
      </c>
      <c r="O75" s="18"/>
      <c r="P75" s="16"/>
      <c r="Q75" s="18"/>
    </row>
    <row r="76" customFormat="false" ht="15" hidden="false" customHeight="false" outlineLevel="0" collapsed="false">
      <c r="A76" s="14" t="str">
        <f aca="false">IF(B76="","",ROW()-11)</f>
        <v/>
      </c>
      <c r="B76" s="15"/>
      <c r="C76" s="16"/>
      <c r="D76" s="16"/>
      <c r="E76" s="16"/>
      <c r="F76" s="16"/>
      <c r="G76" s="16"/>
      <c r="H76" s="16"/>
      <c r="I76" s="17" t="str">
        <f aca="false">IF(B76="","",SUM(J76:N76))</f>
        <v/>
      </c>
      <c r="J76" s="18"/>
      <c r="K76" s="18"/>
      <c r="L76" s="17" t="str">
        <f aca="false">IF(K76="","",ROUND(K76*$P$4,2))</f>
        <v/>
      </c>
      <c r="M76" s="18"/>
      <c r="N76" s="17" t="str">
        <f aca="false">IF(M76="","",ROUND(M76*$P$5,2))</f>
        <v/>
      </c>
      <c r="O76" s="18"/>
      <c r="P76" s="16"/>
      <c r="Q76" s="18"/>
    </row>
    <row r="77" customFormat="false" ht="15" hidden="false" customHeight="false" outlineLevel="0" collapsed="false">
      <c r="A77" s="14" t="str">
        <f aca="false">IF(B77="","",ROW()-11)</f>
        <v/>
      </c>
      <c r="B77" s="15"/>
      <c r="C77" s="16"/>
      <c r="D77" s="16"/>
      <c r="E77" s="16"/>
      <c r="F77" s="16"/>
      <c r="G77" s="16"/>
      <c r="H77" s="16"/>
      <c r="I77" s="17" t="str">
        <f aca="false">IF(B77="","",SUM(J77:N77))</f>
        <v/>
      </c>
      <c r="J77" s="18"/>
      <c r="K77" s="18"/>
      <c r="L77" s="17" t="str">
        <f aca="false">IF(K77="","",ROUND(K77*$P$4,2))</f>
        <v/>
      </c>
      <c r="M77" s="18"/>
      <c r="N77" s="17" t="str">
        <f aca="false">IF(M77="","",ROUND(M77*$P$5,2))</f>
        <v/>
      </c>
      <c r="O77" s="18"/>
      <c r="P77" s="16"/>
      <c r="Q77" s="18"/>
    </row>
    <row r="78" customFormat="false" ht="15" hidden="false" customHeight="false" outlineLevel="0" collapsed="false">
      <c r="A78" s="14" t="str">
        <f aca="false">IF(B78="","",ROW()-11)</f>
        <v/>
      </c>
      <c r="B78" s="15"/>
      <c r="C78" s="16"/>
      <c r="D78" s="16"/>
      <c r="E78" s="16"/>
      <c r="F78" s="16"/>
      <c r="G78" s="16"/>
      <c r="H78" s="16"/>
      <c r="I78" s="17" t="str">
        <f aca="false">IF(B78="","",SUM(J78:N78))</f>
        <v/>
      </c>
      <c r="J78" s="18"/>
      <c r="K78" s="18"/>
      <c r="L78" s="17" t="str">
        <f aca="false">IF(K78="","",ROUND(K78*$P$4,2))</f>
        <v/>
      </c>
      <c r="M78" s="18"/>
      <c r="N78" s="17" t="str">
        <f aca="false">IF(M78="","",ROUND(M78*$P$5,2))</f>
        <v/>
      </c>
      <c r="O78" s="18"/>
      <c r="P78" s="16"/>
      <c r="Q78" s="18"/>
    </row>
    <row r="79" customFormat="false" ht="15" hidden="false" customHeight="false" outlineLevel="0" collapsed="false">
      <c r="A79" s="14" t="str">
        <f aca="false">IF(B79="","",ROW()-11)</f>
        <v/>
      </c>
      <c r="B79" s="15"/>
      <c r="C79" s="16"/>
      <c r="D79" s="16"/>
      <c r="E79" s="16"/>
      <c r="F79" s="16"/>
      <c r="G79" s="16"/>
      <c r="H79" s="16"/>
      <c r="I79" s="17" t="str">
        <f aca="false">IF(B79="","",SUM(J79:N79))</f>
        <v/>
      </c>
      <c r="J79" s="18"/>
      <c r="K79" s="18"/>
      <c r="L79" s="17" t="str">
        <f aca="false">IF(K79="","",ROUND(K79*$P$4,2))</f>
        <v/>
      </c>
      <c r="M79" s="18"/>
      <c r="N79" s="17" t="str">
        <f aca="false">IF(M79="","",ROUND(M79*$P$5,2))</f>
        <v/>
      </c>
      <c r="O79" s="18"/>
      <c r="P79" s="16"/>
      <c r="Q79" s="18"/>
    </row>
    <row r="80" customFormat="false" ht="15" hidden="false" customHeight="false" outlineLevel="0" collapsed="false">
      <c r="A80" s="14" t="str">
        <f aca="false">IF(B80="","",ROW()-11)</f>
        <v/>
      </c>
      <c r="B80" s="15"/>
      <c r="C80" s="16"/>
      <c r="D80" s="16"/>
      <c r="E80" s="16"/>
      <c r="F80" s="16"/>
      <c r="G80" s="16"/>
      <c r="H80" s="16"/>
      <c r="I80" s="17" t="str">
        <f aca="false">IF(B80="","",SUM(J80:N80))</f>
        <v/>
      </c>
      <c r="J80" s="18"/>
      <c r="K80" s="18"/>
      <c r="L80" s="17" t="str">
        <f aca="false">IF(K80="","",ROUND(K80*$P$4,2))</f>
        <v/>
      </c>
      <c r="M80" s="18"/>
      <c r="N80" s="17" t="str">
        <f aca="false">IF(M80="","",ROUND(M80*$P$5,2))</f>
        <v/>
      </c>
      <c r="O80" s="18"/>
      <c r="P80" s="16"/>
      <c r="Q80" s="18"/>
    </row>
    <row r="81" customFormat="false" ht="15" hidden="false" customHeight="false" outlineLevel="0" collapsed="false">
      <c r="A81" s="14" t="str">
        <f aca="false">IF(B81="","",ROW()-11)</f>
        <v/>
      </c>
      <c r="B81" s="15"/>
      <c r="C81" s="16"/>
      <c r="D81" s="16"/>
      <c r="E81" s="16"/>
      <c r="F81" s="16"/>
      <c r="G81" s="16"/>
      <c r="H81" s="16"/>
      <c r="I81" s="17" t="str">
        <f aca="false">IF(B81="","",SUM(J81:N81))</f>
        <v/>
      </c>
      <c r="J81" s="18"/>
      <c r="K81" s="18"/>
      <c r="L81" s="17" t="str">
        <f aca="false">IF(K81="","",ROUND(K81*$P$4,2))</f>
        <v/>
      </c>
      <c r="M81" s="18"/>
      <c r="N81" s="17" t="str">
        <f aca="false">IF(M81="","",ROUND(M81*$P$5,2))</f>
        <v/>
      </c>
      <c r="O81" s="18"/>
      <c r="P81" s="16"/>
      <c r="Q81" s="18"/>
    </row>
    <row r="82" customFormat="false" ht="15" hidden="false" customHeight="false" outlineLevel="0" collapsed="false">
      <c r="A82" s="14" t="str">
        <f aca="false">IF(B82="","",ROW()-11)</f>
        <v/>
      </c>
      <c r="B82" s="15"/>
      <c r="C82" s="16"/>
      <c r="D82" s="16"/>
      <c r="E82" s="16"/>
      <c r="F82" s="16"/>
      <c r="G82" s="16"/>
      <c r="H82" s="16"/>
      <c r="I82" s="17" t="str">
        <f aca="false">IF(B82="","",SUM(J82:N82))</f>
        <v/>
      </c>
      <c r="J82" s="18"/>
      <c r="K82" s="18"/>
      <c r="L82" s="17" t="str">
        <f aca="false">IF(K82="","",ROUND(K82*$P$4,2))</f>
        <v/>
      </c>
      <c r="M82" s="18"/>
      <c r="N82" s="17" t="str">
        <f aca="false">IF(M82="","",ROUND(M82*$P$5,2))</f>
        <v/>
      </c>
      <c r="O82" s="18"/>
      <c r="P82" s="16"/>
      <c r="Q82" s="18"/>
    </row>
    <row r="83" customFormat="false" ht="15" hidden="false" customHeight="false" outlineLevel="0" collapsed="false">
      <c r="A83" s="14" t="str">
        <f aca="false">IF(B83="","",ROW()-11)</f>
        <v/>
      </c>
      <c r="B83" s="15"/>
      <c r="C83" s="16"/>
      <c r="D83" s="16"/>
      <c r="E83" s="16"/>
      <c r="F83" s="16"/>
      <c r="G83" s="16"/>
      <c r="H83" s="16"/>
      <c r="I83" s="17" t="str">
        <f aca="false">IF(B83="","",SUM(J83:N83))</f>
        <v/>
      </c>
      <c r="J83" s="18"/>
      <c r="K83" s="18"/>
      <c r="L83" s="17" t="str">
        <f aca="false">IF(K83="","",ROUND(K83*$P$4,2))</f>
        <v/>
      </c>
      <c r="M83" s="18"/>
      <c r="N83" s="17" t="str">
        <f aca="false">IF(M83="","",ROUND(M83*$P$5,2))</f>
        <v/>
      </c>
      <c r="O83" s="18"/>
      <c r="P83" s="16"/>
      <c r="Q83" s="18"/>
    </row>
    <row r="84" customFormat="false" ht="15" hidden="false" customHeight="false" outlineLevel="0" collapsed="false">
      <c r="A84" s="14" t="str">
        <f aca="false">IF(B84="","",ROW()-11)</f>
        <v/>
      </c>
      <c r="B84" s="15"/>
      <c r="C84" s="16"/>
      <c r="D84" s="16"/>
      <c r="E84" s="16"/>
      <c r="F84" s="16"/>
      <c r="G84" s="16"/>
      <c r="H84" s="16"/>
      <c r="I84" s="17" t="str">
        <f aca="false">IF(B84="","",SUM(J84:N84))</f>
        <v/>
      </c>
      <c r="J84" s="18"/>
      <c r="K84" s="18"/>
      <c r="L84" s="17" t="str">
        <f aca="false">IF(K84="","",ROUND(K84*$P$4,2))</f>
        <v/>
      </c>
      <c r="M84" s="18"/>
      <c r="N84" s="17" t="str">
        <f aca="false">IF(M84="","",ROUND(M84*$P$5,2))</f>
        <v/>
      </c>
      <c r="O84" s="18"/>
      <c r="P84" s="16"/>
      <c r="Q84" s="18"/>
    </row>
    <row r="85" customFormat="false" ht="15" hidden="false" customHeight="false" outlineLevel="0" collapsed="false">
      <c r="A85" s="14" t="str">
        <f aca="false">IF(B85="","",ROW()-11)</f>
        <v/>
      </c>
      <c r="B85" s="15"/>
      <c r="C85" s="16"/>
      <c r="D85" s="16"/>
      <c r="E85" s="16"/>
      <c r="F85" s="16"/>
      <c r="G85" s="16"/>
      <c r="H85" s="16"/>
      <c r="I85" s="17" t="str">
        <f aca="false">IF(B85="","",SUM(J85:N85))</f>
        <v/>
      </c>
      <c r="J85" s="18"/>
      <c r="K85" s="18"/>
      <c r="L85" s="17" t="str">
        <f aca="false">IF(K85="","",ROUND(K85*$P$4,2))</f>
        <v/>
      </c>
      <c r="M85" s="18"/>
      <c r="N85" s="17" t="str">
        <f aca="false">IF(M85="","",ROUND(M85*$P$5,2))</f>
        <v/>
      </c>
      <c r="O85" s="18"/>
      <c r="P85" s="16"/>
      <c r="Q85" s="18"/>
    </row>
    <row r="86" customFormat="false" ht="15" hidden="false" customHeight="false" outlineLevel="0" collapsed="false">
      <c r="A86" s="14" t="str">
        <f aca="false">IF(B86="","",ROW()-11)</f>
        <v/>
      </c>
      <c r="B86" s="15"/>
      <c r="C86" s="16"/>
      <c r="D86" s="16"/>
      <c r="E86" s="16"/>
      <c r="F86" s="16"/>
      <c r="G86" s="16"/>
      <c r="H86" s="16"/>
      <c r="I86" s="17" t="str">
        <f aca="false">IF(B86="","",SUM(J86:N86))</f>
        <v/>
      </c>
      <c r="J86" s="18"/>
      <c r="K86" s="18"/>
      <c r="L86" s="17" t="str">
        <f aca="false">IF(K86="","",ROUND(K86*$P$4,2))</f>
        <v/>
      </c>
      <c r="M86" s="18"/>
      <c r="N86" s="17" t="str">
        <f aca="false">IF(M86="","",ROUND(M86*$P$5,2))</f>
        <v/>
      </c>
      <c r="O86" s="18"/>
      <c r="P86" s="16"/>
      <c r="Q86" s="18"/>
    </row>
    <row r="87" customFormat="false" ht="15" hidden="false" customHeight="false" outlineLevel="0" collapsed="false">
      <c r="A87" s="14" t="str">
        <f aca="false">IF(B87="","",ROW()-11)</f>
        <v/>
      </c>
      <c r="B87" s="15"/>
      <c r="C87" s="16"/>
      <c r="D87" s="16"/>
      <c r="E87" s="16"/>
      <c r="F87" s="16"/>
      <c r="G87" s="16"/>
      <c r="H87" s="16"/>
      <c r="I87" s="17" t="str">
        <f aca="false">IF(B87="","",SUM(J87:N87))</f>
        <v/>
      </c>
      <c r="J87" s="18"/>
      <c r="K87" s="18"/>
      <c r="L87" s="17" t="str">
        <f aca="false">IF(K87="","",ROUND(K87*$P$4,2))</f>
        <v/>
      </c>
      <c r="M87" s="18"/>
      <c r="N87" s="17" t="str">
        <f aca="false">IF(M87="","",ROUND(M87*$P$5,2))</f>
        <v/>
      </c>
      <c r="O87" s="18"/>
      <c r="P87" s="16"/>
      <c r="Q87" s="18"/>
    </row>
    <row r="88" customFormat="false" ht="15" hidden="false" customHeight="false" outlineLevel="0" collapsed="false">
      <c r="A88" s="14" t="str">
        <f aca="false">IF(B88="","",ROW()-11)</f>
        <v/>
      </c>
      <c r="B88" s="15"/>
      <c r="C88" s="16"/>
      <c r="D88" s="16"/>
      <c r="E88" s="16"/>
      <c r="F88" s="16"/>
      <c r="G88" s="16"/>
      <c r="H88" s="16"/>
      <c r="I88" s="17" t="str">
        <f aca="false">IF(B88="","",SUM(J88:N88))</f>
        <v/>
      </c>
      <c r="J88" s="18"/>
      <c r="K88" s="18"/>
      <c r="L88" s="17" t="str">
        <f aca="false">IF(K88="","",ROUND(K88*$P$4,2))</f>
        <v/>
      </c>
      <c r="M88" s="18"/>
      <c r="N88" s="17" t="str">
        <f aca="false">IF(M88="","",ROUND(M88*$P$5,2))</f>
        <v/>
      </c>
      <c r="O88" s="18"/>
      <c r="P88" s="16"/>
      <c r="Q88" s="18"/>
    </row>
    <row r="89" customFormat="false" ht="15" hidden="false" customHeight="false" outlineLevel="0" collapsed="false">
      <c r="A89" s="14" t="str">
        <f aca="false">IF(B89="","",ROW()-11)</f>
        <v/>
      </c>
      <c r="B89" s="15"/>
      <c r="C89" s="16"/>
      <c r="D89" s="16"/>
      <c r="E89" s="16"/>
      <c r="F89" s="16"/>
      <c r="G89" s="16"/>
      <c r="H89" s="16"/>
      <c r="I89" s="17" t="str">
        <f aca="false">IF(B89="","",SUM(J89:N89))</f>
        <v/>
      </c>
      <c r="J89" s="18"/>
      <c r="K89" s="18"/>
      <c r="L89" s="17" t="str">
        <f aca="false">IF(K89="","",ROUND(K89*$P$4,2))</f>
        <v/>
      </c>
      <c r="M89" s="18"/>
      <c r="N89" s="17" t="str">
        <f aca="false">IF(M89="","",ROUND(M89*$P$5,2))</f>
        <v/>
      </c>
      <c r="O89" s="18"/>
      <c r="P89" s="16"/>
      <c r="Q89" s="18"/>
    </row>
    <row r="90" customFormat="false" ht="15" hidden="false" customHeight="false" outlineLevel="0" collapsed="false">
      <c r="A90" s="14" t="str">
        <f aca="false">IF(B90="","",ROW()-11)</f>
        <v/>
      </c>
      <c r="B90" s="15"/>
      <c r="C90" s="16"/>
      <c r="D90" s="16"/>
      <c r="E90" s="16"/>
      <c r="F90" s="16"/>
      <c r="G90" s="16"/>
      <c r="H90" s="16"/>
      <c r="I90" s="17" t="str">
        <f aca="false">IF(B90="","",SUM(J90:N90))</f>
        <v/>
      </c>
      <c r="J90" s="18"/>
      <c r="K90" s="18"/>
      <c r="L90" s="17" t="str">
        <f aca="false">IF(K90="","",ROUND(K90*$P$4,2))</f>
        <v/>
      </c>
      <c r="M90" s="18"/>
      <c r="N90" s="17" t="str">
        <f aca="false">IF(M90="","",ROUND(M90*$P$5,2))</f>
        <v/>
      </c>
      <c r="O90" s="18"/>
      <c r="P90" s="16"/>
      <c r="Q90" s="18"/>
    </row>
    <row r="91" customFormat="false" ht="15" hidden="false" customHeight="false" outlineLevel="0" collapsed="false">
      <c r="A91" s="14" t="str">
        <f aca="false">IF(B91="","",ROW()-11)</f>
        <v/>
      </c>
      <c r="B91" s="15"/>
      <c r="C91" s="16"/>
      <c r="D91" s="16"/>
      <c r="E91" s="16"/>
      <c r="F91" s="16"/>
      <c r="G91" s="16"/>
      <c r="H91" s="16"/>
      <c r="I91" s="17" t="str">
        <f aca="false">IF(B91="","",SUM(J91:N91))</f>
        <v/>
      </c>
      <c r="J91" s="18"/>
      <c r="K91" s="18"/>
      <c r="L91" s="17" t="str">
        <f aca="false">IF(K91="","",ROUND(K91*$P$4,2))</f>
        <v/>
      </c>
      <c r="M91" s="18"/>
      <c r="N91" s="17" t="str">
        <f aca="false">IF(M91="","",ROUND(M91*$P$5,2))</f>
        <v/>
      </c>
      <c r="O91" s="18"/>
      <c r="P91" s="16"/>
      <c r="Q91" s="18"/>
    </row>
    <row r="92" customFormat="false" ht="15" hidden="false" customHeight="false" outlineLevel="0" collapsed="false">
      <c r="A92" s="14" t="str">
        <f aca="false">IF(B92="","",ROW()-11)</f>
        <v/>
      </c>
      <c r="B92" s="15"/>
      <c r="C92" s="16"/>
      <c r="D92" s="16"/>
      <c r="E92" s="16"/>
      <c r="F92" s="16"/>
      <c r="G92" s="16"/>
      <c r="H92" s="16"/>
      <c r="I92" s="17" t="str">
        <f aca="false">IF(B92="","",SUM(J92:N92))</f>
        <v/>
      </c>
      <c r="J92" s="18"/>
      <c r="K92" s="18"/>
      <c r="L92" s="17" t="str">
        <f aca="false">IF(K92="","",ROUND(K92*$P$4,2))</f>
        <v/>
      </c>
      <c r="M92" s="18"/>
      <c r="N92" s="17" t="str">
        <f aca="false">IF(M92="","",ROUND(M92*$P$5,2))</f>
        <v/>
      </c>
      <c r="O92" s="18"/>
      <c r="P92" s="16"/>
      <c r="Q92" s="18"/>
    </row>
    <row r="93" customFormat="false" ht="15" hidden="false" customHeight="false" outlineLevel="0" collapsed="false">
      <c r="A93" s="14" t="str">
        <f aca="false">IF(B93="","",ROW()-11)</f>
        <v/>
      </c>
      <c r="B93" s="15"/>
      <c r="C93" s="16"/>
      <c r="D93" s="16"/>
      <c r="E93" s="16"/>
      <c r="F93" s="16"/>
      <c r="G93" s="16"/>
      <c r="H93" s="16"/>
      <c r="I93" s="17" t="str">
        <f aca="false">IF(B93="","",SUM(J93:N93))</f>
        <v/>
      </c>
      <c r="J93" s="18"/>
      <c r="K93" s="18"/>
      <c r="L93" s="17" t="str">
        <f aca="false">IF(K93="","",ROUND(K93*$P$4,2))</f>
        <v/>
      </c>
      <c r="M93" s="18"/>
      <c r="N93" s="17" t="str">
        <f aca="false">IF(M93="","",ROUND(M93*$P$5,2))</f>
        <v/>
      </c>
      <c r="O93" s="18"/>
      <c r="P93" s="16"/>
      <c r="Q93" s="18"/>
    </row>
    <row r="94" customFormat="false" ht="15" hidden="false" customHeight="false" outlineLevel="0" collapsed="false">
      <c r="A94" s="14" t="str">
        <f aca="false">IF(B94="","",ROW()-11)</f>
        <v/>
      </c>
      <c r="B94" s="15"/>
      <c r="C94" s="16"/>
      <c r="D94" s="16"/>
      <c r="E94" s="16"/>
      <c r="F94" s="16"/>
      <c r="G94" s="16"/>
      <c r="H94" s="16"/>
      <c r="I94" s="17" t="str">
        <f aca="false">IF(B94="","",SUM(J94:N94))</f>
        <v/>
      </c>
      <c r="J94" s="18"/>
      <c r="K94" s="18"/>
      <c r="L94" s="17" t="str">
        <f aca="false">IF(K94="","",ROUND(K94*$P$4,2))</f>
        <v/>
      </c>
      <c r="M94" s="18"/>
      <c r="N94" s="17" t="str">
        <f aca="false">IF(M94="","",ROUND(M94*$P$5,2))</f>
        <v/>
      </c>
      <c r="O94" s="18"/>
      <c r="P94" s="16"/>
      <c r="Q94" s="18"/>
    </row>
    <row r="95" customFormat="false" ht="15" hidden="false" customHeight="false" outlineLevel="0" collapsed="false">
      <c r="A95" s="14" t="str">
        <f aca="false">IF(B95="","",ROW()-11)</f>
        <v/>
      </c>
      <c r="B95" s="15"/>
      <c r="C95" s="16"/>
      <c r="D95" s="16"/>
      <c r="E95" s="16"/>
      <c r="F95" s="16"/>
      <c r="G95" s="16"/>
      <c r="H95" s="16"/>
      <c r="I95" s="17" t="str">
        <f aca="false">IF(B95="","",SUM(J95:N95))</f>
        <v/>
      </c>
      <c r="J95" s="18"/>
      <c r="K95" s="18"/>
      <c r="L95" s="17" t="str">
        <f aca="false">IF(K95="","",ROUND(K95*$P$4,2))</f>
        <v/>
      </c>
      <c r="M95" s="18"/>
      <c r="N95" s="17" t="str">
        <f aca="false">IF(M95="","",ROUND(M95*$P$5,2))</f>
        <v/>
      </c>
      <c r="O95" s="18"/>
      <c r="P95" s="16"/>
      <c r="Q95" s="18"/>
    </row>
    <row r="96" customFormat="false" ht="15" hidden="false" customHeight="false" outlineLevel="0" collapsed="false">
      <c r="A96" s="14" t="str">
        <f aca="false">IF(B96="","",ROW()-11)</f>
        <v/>
      </c>
      <c r="B96" s="15"/>
      <c r="C96" s="16"/>
      <c r="D96" s="16"/>
      <c r="E96" s="16"/>
      <c r="F96" s="16"/>
      <c r="G96" s="16"/>
      <c r="H96" s="16"/>
      <c r="I96" s="17" t="str">
        <f aca="false">IF(B96="","",SUM(J96:N96))</f>
        <v/>
      </c>
      <c r="J96" s="18"/>
      <c r="K96" s="18"/>
      <c r="L96" s="17" t="str">
        <f aca="false">IF(K96="","",ROUND(K96*$P$4,2))</f>
        <v/>
      </c>
      <c r="M96" s="18"/>
      <c r="N96" s="17" t="str">
        <f aca="false">IF(M96="","",ROUND(M96*$P$5,2))</f>
        <v/>
      </c>
      <c r="O96" s="18"/>
      <c r="P96" s="16"/>
      <c r="Q96" s="18"/>
    </row>
    <row r="97" customFormat="false" ht="15" hidden="false" customHeight="false" outlineLevel="0" collapsed="false">
      <c r="A97" s="14" t="str">
        <f aca="false">IF(B97="","",ROW()-11)</f>
        <v/>
      </c>
      <c r="B97" s="15"/>
      <c r="C97" s="16"/>
      <c r="D97" s="16"/>
      <c r="E97" s="16"/>
      <c r="F97" s="16"/>
      <c r="G97" s="16"/>
      <c r="H97" s="16"/>
      <c r="I97" s="17" t="str">
        <f aca="false">IF(B97="","",SUM(J97:N97))</f>
        <v/>
      </c>
      <c r="J97" s="18"/>
      <c r="K97" s="18"/>
      <c r="L97" s="17" t="str">
        <f aca="false">IF(K97="","",ROUND(K97*$P$4,2))</f>
        <v/>
      </c>
      <c r="M97" s="18"/>
      <c r="N97" s="17" t="str">
        <f aca="false">IF(M97="","",ROUND(M97*$P$5,2))</f>
        <v/>
      </c>
      <c r="O97" s="18"/>
      <c r="P97" s="16"/>
      <c r="Q97" s="18"/>
    </row>
    <row r="98" customFormat="false" ht="15" hidden="false" customHeight="false" outlineLevel="0" collapsed="false">
      <c r="A98" s="14" t="str">
        <f aca="false">IF(B98="","",ROW()-11)</f>
        <v/>
      </c>
      <c r="B98" s="15"/>
      <c r="C98" s="16"/>
      <c r="D98" s="16"/>
      <c r="E98" s="16"/>
      <c r="F98" s="16"/>
      <c r="G98" s="16"/>
      <c r="H98" s="16"/>
      <c r="I98" s="17" t="str">
        <f aca="false">IF(B98="","",SUM(J98:N98))</f>
        <v/>
      </c>
      <c r="J98" s="18"/>
      <c r="K98" s="18"/>
      <c r="L98" s="17" t="str">
        <f aca="false">IF(K98="","",ROUND(K98*$P$4,2))</f>
        <v/>
      </c>
      <c r="M98" s="18"/>
      <c r="N98" s="17" t="str">
        <f aca="false">IF(M98="","",ROUND(M98*$P$5,2))</f>
        <v/>
      </c>
      <c r="O98" s="18"/>
      <c r="P98" s="16"/>
      <c r="Q98" s="18"/>
    </row>
    <row r="99" customFormat="false" ht="15" hidden="false" customHeight="false" outlineLevel="0" collapsed="false">
      <c r="A99" s="14" t="str">
        <f aca="false">IF(B99="","",ROW()-11)</f>
        <v/>
      </c>
      <c r="B99" s="15"/>
      <c r="C99" s="16"/>
      <c r="D99" s="16"/>
      <c r="E99" s="16"/>
      <c r="F99" s="16"/>
      <c r="G99" s="16"/>
      <c r="H99" s="16"/>
      <c r="I99" s="17" t="str">
        <f aca="false">IF(B99="","",SUM(J99:N99))</f>
        <v/>
      </c>
      <c r="J99" s="18"/>
      <c r="K99" s="18"/>
      <c r="L99" s="17" t="str">
        <f aca="false">IF(K99="","",ROUND(K99*$P$4,2))</f>
        <v/>
      </c>
      <c r="M99" s="18"/>
      <c r="N99" s="17" t="str">
        <f aca="false">IF(M99="","",ROUND(M99*$P$5,2))</f>
        <v/>
      </c>
      <c r="O99" s="18"/>
      <c r="P99" s="16"/>
      <c r="Q99" s="18"/>
    </row>
    <row r="100" customFormat="false" ht="15" hidden="false" customHeight="false" outlineLevel="0" collapsed="false">
      <c r="A100" s="14" t="str">
        <f aca="false">IF(B100="","",ROW()-11)</f>
        <v/>
      </c>
      <c r="B100" s="15"/>
      <c r="C100" s="16"/>
      <c r="D100" s="16"/>
      <c r="E100" s="16"/>
      <c r="F100" s="16"/>
      <c r="G100" s="16"/>
      <c r="H100" s="16"/>
      <c r="I100" s="17" t="str">
        <f aca="false">IF(B100="","",SUM(J100:N100))</f>
        <v/>
      </c>
      <c r="J100" s="18"/>
      <c r="K100" s="18"/>
      <c r="L100" s="17" t="str">
        <f aca="false">IF(K100="","",ROUND(K100*$P$4,2))</f>
        <v/>
      </c>
      <c r="M100" s="18"/>
      <c r="N100" s="17" t="str">
        <f aca="false">IF(M100="","",ROUND(M100*$P$5,2))</f>
        <v/>
      </c>
      <c r="O100" s="18"/>
      <c r="P100" s="16"/>
      <c r="Q100" s="18"/>
    </row>
    <row r="101" customFormat="false" ht="15" hidden="false" customHeight="false" outlineLevel="0" collapsed="false">
      <c r="A101" s="14" t="str">
        <f aca="false">IF(B101="","",ROW()-11)</f>
        <v/>
      </c>
      <c r="B101" s="15"/>
      <c r="C101" s="16"/>
      <c r="D101" s="16"/>
      <c r="E101" s="16"/>
      <c r="F101" s="16"/>
      <c r="G101" s="16"/>
      <c r="H101" s="16"/>
      <c r="I101" s="17" t="str">
        <f aca="false">IF(B101="","",SUM(J101:N101))</f>
        <v/>
      </c>
      <c r="J101" s="18"/>
      <c r="K101" s="18"/>
      <c r="L101" s="17" t="str">
        <f aca="false">IF(K101="","",ROUND(K101*$P$4,2))</f>
        <v/>
      </c>
      <c r="M101" s="18"/>
      <c r="N101" s="17" t="str">
        <f aca="false">IF(M101="","",ROUND(M101*$P$5,2))</f>
        <v/>
      </c>
      <c r="O101" s="18"/>
      <c r="P101" s="16"/>
      <c r="Q101" s="18"/>
    </row>
    <row r="102" customFormat="false" ht="15" hidden="false" customHeight="false" outlineLevel="0" collapsed="false">
      <c r="A102" s="14" t="str">
        <f aca="false">IF(B102="","",ROW()-11)</f>
        <v/>
      </c>
      <c r="B102" s="15"/>
      <c r="C102" s="16"/>
      <c r="D102" s="16"/>
      <c r="E102" s="16"/>
      <c r="F102" s="16"/>
      <c r="G102" s="16"/>
      <c r="H102" s="16"/>
      <c r="I102" s="17" t="str">
        <f aca="false">IF(B102="","",SUM(J102:N102))</f>
        <v/>
      </c>
      <c r="J102" s="18"/>
      <c r="K102" s="18"/>
      <c r="L102" s="17" t="str">
        <f aca="false">IF(K102="","",ROUND(K102*$P$4,2))</f>
        <v/>
      </c>
      <c r="M102" s="18"/>
      <c r="N102" s="17" t="str">
        <f aca="false">IF(M102="","",ROUND(M102*$P$5,2))</f>
        <v/>
      </c>
      <c r="O102" s="18"/>
      <c r="P102" s="16"/>
      <c r="Q102" s="18"/>
    </row>
    <row r="103" customFormat="false" ht="15" hidden="false" customHeight="false" outlineLevel="0" collapsed="false">
      <c r="A103" s="14" t="str">
        <f aca="false">IF(B103="","",ROW()-11)</f>
        <v/>
      </c>
      <c r="B103" s="15"/>
      <c r="C103" s="16"/>
      <c r="D103" s="16"/>
      <c r="E103" s="16"/>
      <c r="F103" s="16"/>
      <c r="G103" s="16"/>
      <c r="H103" s="16"/>
      <c r="I103" s="17" t="str">
        <f aca="false">IF(B103="","",SUM(J103:N103))</f>
        <v/>
      </c>
      <c r="J103" s="18"/>
      <c r="K103" s="18"/>
      <c r="L103" s="17" t="str">
        <f aca="false">IF(K103="","",ROUND(K103*$P$4,2))</f>
        <v/>
      </c>
      <c r="M103" s="18"/>
      <c r="N103" s="17" t="str">
        <f aca="false">IF(M103="","",ROUND(M103*$P$5,2))</f>
        <v/>
      </c>
      <c r="O103" s="18"/>
      <c r="P103" s="16"/>
      <c r="Q103" s="18"/>
    </row>
    <row r="104" customFormat="false" ht="15" hidden="false" customHeight="false" outlineLevel="0" collapsed="false">
      <c r="A104" s="14" t="str">
        <f aca="false">IF(B104="","",ROW()-11)</f>
        <v/>
      </c>
      <c r="B104" s="15"/>
      <c r="C104" s="16"/>
      <c r="D104" s="16"/>
      <c r="E104" s="16"/>
      <c r="F104" s="16"/>
      <c r="G104" s="16"/>
      <c r="H104" s="16"/>
      <c r="I104" s="17" t="str">
        <f aca="false">IF(B104="","",SUM(J104:N104))</f>
        <v/>
      </c>
      <c r="J104" s="18"/>
      <c r="K104" s="18"/>
      <c r="L104" s="17" t="str">
        <f aca="false">IF(K104="","",ROUND(K104*$P$4,2))</f>
        <v/>
      </c>
      <c r="M104" s="18"/>
      <c r="N104" s="17" t="str">
        <f aca="false">IF(M104="","",ROUND(M104*$P$5,2))</f>
        <v/>
      </c>
      <c r="O104" s="18"/>
      <c r="P104" s="16"/>
      <c r="Q104" s="18"/>
    </row>
    <row r="105" customFormat="false" ht="15" hidden="false" customHeight="false" outlineLevel="0" collapsed="false">
      <c r="A105" s="14" t="str">
        <f aca="false">IF(B105="","",ROW()-11)</f>
        <v/>
      </c>
      <c r="B105" s="15"/>
      <c r="C105" s="16"/>
      <c r="D105" s="16"/>
      <c r="E105" s="16"/>
      <c r="F105" s="16"/>
      <c r="G105" s="16"/>
      <c r="H105" s="16"/>
      <c r="I105" s="17" t="str">
        <f aca="false">IF(B105="","",SUM(J105:N105))</f>
        <v/>
      </c>
      <c r="J105" s="18"/>
      <c r="K105" s="18"/>
      <c r="L105" s="17" t="str">
        <f aca="false">IF(K105="","",ROUND(K105*$P$4,2))</f>
        <v/>
      </c>
      <c r="M105" s="18"/>
      <c r="N105" s="17" t="str">
        <f aca="false">IF(M105="","",ROUND(M105*$P$5,2))</f>
        <v/>
      </c>
      <c r="O105" s="18"/>
      <c r="P105" s="16"/>
      <c r="Q105" s="18"/>
    </row>
    <row r="106" customFormat="false" ht="15" hidden="false" customHeight="false" outlineLevel="0" collapsed="false">
      <c r="A106" s="14" t="str">
        <f aca="false">IF(B106="","",ROW()-11)</f>
        <v/>
      </c>
      <c r="B106" s="15"/>
      <c r="C106" s="16"/>
      <c r="D106" s="16"/>
      <c r="E106" s="16"/>
      <c r="F106" s="16"/>
      <c r="G106" s="16"/>
      <c r="H106" s="16"/>
      <c r="I106" s="17" t="str">
        <f aca="false">IF(B106="","",SUM(J106:N106))</f>
        <v/>
      </c>
      <c r="J106" s="18"/>
      <c r="K106" s="18"/>
      <c r="L106" s="17" t="str">
        <f aca="false">IF(K106="","",ROUND(K106*$P$4,2))</f>
        <v/>
      </c>
      <c r="M106" s="18"/>
      <c r="N106" s="17" t="str">
        <f aca="false">IF(M106="","",ROUND(M106*$P$5,2))</f>
        <v/>
      </c>
      <c r="O106" s="18"/>
      <c r="P106" s="16"/>
      <c r="Q106" s="18"/>
    </row>
    <row r="107" customFormat="false" ht="15" hidden="false" customHeight="false" outlineLevel="0" collapsed="false">
      <c r="A107" s="14" t="str">
        <f aca="false">IF(B107="","",ROW()-11)</f>
        <v/>
      </c>
      <c r="B107" s="15"/>
      <c r="C107" s="16"/>
      <c r="D107" s="16"/>
      <c r="E107" s="16"/>
      <c r="F107" s="16"/>
      <c r="G107" s="16"/>
      <c r="H107" s="16"/>
      <c r="I107" s="17" t="str">
        <f aca="false">IF(B107="","",SUM(J107:N107))</f>
        <v/>
      </c>
      <c r="J107" s="18"/>
      <c r="K107" s="18"/>
      <c r="L107" s="17" t="str">
        <f aca="false">IF(K107="","",ROUND(K107*$P$4,2))</f>
        <v/>
      </c>
      <c r="M107" s="18"/>
      <c r="N107" s="17" t="str">
        <f aca="false">IF(M107="","",ROUND(M107*$P$5,2))</f>
        <v/>
      </c>
      <c r="O107" s="18"/>
      <c r="P107" s="16"/>
      <c r="Q107" s="18"/>
    </row>
    <row r="108" customFormat="false" ht="15" hidden="false" customHeight="false" outlineLevel="0" collapsed="false">
      <c r="A108" s="14" t="str">
        <f aca="false">IF(B108="","",ROW()-11)</f>
        <v/>
      </c>
      <c r="B108" s="15"/>
      <c r="C108" s="16"/>
      <c r="D108" s="16"/>
      <c r="E108" s="16"/>
      <c r="F108" s="16"/>
      <c r="G108" s="16"/>
      <c r="H108" s="16"/>
      <c r="I108" s="17" t="str">
        <f aca="false">IF(B108="","",SUM(J108:N108))</f>
        <v/>
      </c>
      <c r="J108" s="18"/>
      <c r="K108" s="18"/>
      <c r="L108" s="17" t="str">
        <f aca="false">IF(K108="","",ROUND(K108*$P$4,2))</f>
        <v/>
      </c>
      <c r="M108" s="18"/>
      <c r="N108" s="17" t="str">
        <f aca="false">IF(M108="","",ROUND(M108*$P$5,2))</f>
        <v/>
      </c>
      <c r="O108" s="18"/>
      <c r="P108" s="16"/>
      <c r="Q108" s="18"/>
    </row>
    <row r="109" customFormat="false" ht="15" hidden="false" customHeight="false" outlineLevel="0" collapsed="false">
      <c r="A109" s="14" t="str">
        <f aca="false">IF(B109="","",ROW()-11)</f>
        <v/>
      </c>
      <c r="B109" s="15"/>
      <c r="C109" s="16"/>
      <c r="D109" s="16"/>
      <c r="E109" s="16"/>
      <c r="F109" s="16"/>
      <c r="G109" s="16"/>
      <c r="H109" s="16"/>
      <c r="I109" s="17" t="str">
        <f aca="false">IF(B109="","",SUM(J109:N109))</f>
        <v/>
      </c>
      <c r="J109" s="18"/>
      <c r="K109" s="18"/>
      <c r="L109" s="17" t="str">
        <f aca="false">IF(K109="","",ROUND(K109*$P$4,2))</f>
        <v/>
      </c>
      <c r="M109" s="18"/>
      <c r="N109" s="17" t="str">
        <f aca="false">IF(M109="","",ROUND(M109*$P$5,2))</f>
        <v/>
      </c>
      <c r="O109" s="18"/>
      <c r="P109" s="16"/>
      <c r="Q109" s="18"/>
    </row>
    <row r="110" customFormat="false" ht="15" hidden="false" customHeight="false" outlineLevel="0" collapsed="false">
      <c r="A110" s="14" t="str">
        <f aca="false">IF(B110="","",ROW()-11)</f>
        <v/>
      </c>
      <c r="B110" s="15"/>
      <c r="C110" s="16"/>
      <c r="D110" s="16"/>
      <c r="E110" s="16"/>
      <c r="F110" s="16"/>
      <c r="G110" s="16"/>
      <c r="H110" s="16"/>
      <c r="I110" s="17" t="str">
        <f aca="false">IF(B110="","",SUM(J110:N110))</f>
        <v/>
      </c>
      <c r="J110" s="18"/>
      <c r="K110" s="18"/>
      <c r="L110" s="17" t="str">
        <f aca="false">IF(K110="","",ROUND(K110*$P$4,2))</f>
        <v/>
      </c>
      <c r="M110" s="18"/>
      <c r="N110" s="17" t="str">
        <f aca="false">IF(M110="","",ROUND(M110*$P$5,2))</f>
        <v/>
      </c>
      <c r="O110" s="18"/>
      <c r="P110" s="16"/>
      <c r="Q110" s="18"/>
    </row>
    <row r="111" customFormat="false" ht="15" hidden="false" customHeight="false" outlineLevel="0" collapsed="false">
      <c r="A111" s="14" t="str">
        <f aca="false">IF(B111="","",ROW()-11)</f>
        <v/>
      </c>
      <c r="B111" s="15"/>
      <c r="C111" s="16"/>
      <c r="D111" s="16"/>
      <c r="E111" s="16"/>
      <c r="F111" s="16"/>
      <c r="G111" s="16"/>
      <c r="H111" s="16"/>
      <c r="I111" s="17" t="str">
        <f aca="false">IF(B111="","",SUM(J111:N111))</f>
        <v/>
      </c>
      <c r="J111" s="18"/>
      <c r="K111" s="18"/>
      <c r="L111" s="17" t="str">
        <f aca="false">IF(K111="","",ROUND(K111*$P$4,2))</f>
        <v/>
      </c>
      <c r="M111" s="18"/>
      <c r="N111" s="17" t="str">
        <f aca="false">IF(M111="","",ROUND(M111*$P$5,2))</f>
        <v/>
      </c>
      <c r="O111" s="18"/>
      <c r="P111" s="16"/>
      <c r="Q111" s="18"/>
    </row>
    <row r="112" customFormat="false" ht="15" hidden="false" customHeight="false" outlineLevel="0" collapsed="false">
      <c r="A112" s="14" t="str">
        <f aca="false">IF(B112="","",ROW()-11)</f>
        <v/>
      </c>
      <c r="B112" s="15"/>
      <c r="C112" s="16"/>
      <c r="D112" s="16"/>
      <c r="E112" s="16"/>
      <c r="F112" s="16"/>
      <c r="G112" s="16"/>
      <c r="H112" s="16"/>
      <c r="I112" s="17" t="str">
        <f aca="false">IF(B112="","",SUM(J112:N112))</f>
        <v/>
      </c>
      <c r="J112" s="18"/>
      <c r="K112" s="18"/>
      <c r="L112" s="17" t="str">
        <f aca="false">IF(K112="","",ROUND(K112*$P$4,2))</f>
        <v/>
      </c>
      <c r="M112" s="18"/>
      <c r="N112" s="17" t="str">
        <f aca="false">IF(M112="","",ROUND(M112*$P$5,2))</f>
        <v/>
      </c>
      <c r="O112" s="18"/>
      <c r="P112" s="16"/>
      <c r="Q112" s="18"/>
    </row>
    <row r="113" customFormat="false" ht="15" hidden="false" customHeight="false" outlineLevel="0" collapsed="false">
      <c r="A113" s="14" t="str">
        <f aca="false">IF(B113="","",ROW()-11)</f>
        <v/>
      </c>
      <c r="B113" s="15"/>
      <c r="C113" s="16"/>
      <c r="D113" s="16"/>
      <c r="E113" s="16"/>
      <c r="F113" s="16"/>
      <c r="G113" s="16"/>
      <c r="H113" s="16"/>
      <c r="I113" s="17" t="str">
        <f aca="false">IF(B113="","",SUM(J113:N113))</f>
        <v/>
      </c>
      <c r="J113" s="18"/>
      <c r="K113" s="18"/>
      <c r="L113" s="17" t="str">
        <f aca="false">IF(K113="","",ROUND(K113*$P$4,2))</f>
        <v/>
      </c>
      <c r="M113" s="18"/>
      <c r="N113" s="17" t="str">
        <f aca="false">IF(M113="","",ROUND(M113*$P$5,2))</f>
        <v/>
      </c>
      <c r="O113" s="18"/>
      <c r="P113" s="16"/>
      <c r="Q113" s="18"/>
    </row>
    <row r="114" customFormat="false" ht="15" hidden="false" customHeight="false" outlineLevel="0" collapsed="false">
      <c r="A114" s="14" t="str">
        <f aca="false">IF(B114="","",ROW()-11)</f>
        <v/>
      </c>
      <c r="B114" s="15"/>
      <c r="C114" s="16"/>
      <c r="D114" s="16"/>
      <c r="E114" s="16"/>
      <c r="F114" s="16"/>
      <c r="G114" s="16"/>
      <c r="H114" s="16"/>
      <c r="I114" s="17" t="str">
        <f aca="false">IF(B114="","",SUM(J114:N114))</f>
        <v/>
      </c>
      <c r="J114" s="18"/>
      <c r="K114" s="18"/>
      <c r="L114" s="17" t="str">
        <f aca="false">IF(K114="","",ROUND(K114*$P$4,2))</f>
        <v/>
      </c>
      <c r="M114" s="18"/>
      <c r="N114" s="17" t="str">
        <f aca="false">IF(M114="","",ROUND(M114*$P$5,2))</f>
        <v/>
      </c>
      <c r="O114" s="18"/>
      <c r="P114" s="16"/>
      <c r="Q114" s="18"/>
    </row>
    <row r="115" customFormat="false" ht="15" hidden="false" customHeight="false" outlineLevel="0" collapsed="false">
      <c r="A115" s="14" t="str">
        <f aca="false">IF(B115="","",ROW()-11)</f>
        <v/>
      </c>
      <c r="B115" s="15"/>
      <c r="C115" s="16"/>
      <c r="D115" s="16"/>
      <c r="E115" s="16"/>
      <c r="F115" s="16"/>
      <c r="G115" s="16"/>
      <c r="H115" s="16"/>
      <c r="I115" s="17" t="str">
        <f aca="false">IF(B115="","",SUM(J115:N115))</f>
        <v/>
      </c>
      <c r="J115" s="18"/>
      <c r="K115" s="18"/>
      <c r="L115" s="17" t="str">
        <f aca="false">IF(K115="","",ROUND(K115*$P$4,2))</f>
        <v/>
      </c>
      <c r="M115" s="18"/>
      <c r="N115" s="17" t="str">
        <f aca="false">IF(M115="","",ROUND(M115*$P$5,2))</f>
        <v/>
      </c>
      <c r="O115" s="18"/>
      <c r="P115" s="16"/>
      <c r="Q115" s="18"/>
    </row>
    <row r="116" customFormat="false" ht="15" hidden="false" customHeight="false" outlineLevel="0" collapsed="false">
      <c r="A116" s="14" t="str">
        <f aca="false">IF(B116="","",ROW()-11)</f>
        <v/>
      </c>
      <c r="B116" s="15"/>
      <c r="C116" s="16"/>
      <c r="D116" s="16"/>
      <c r="E116" s="16"/>
      <c r="F116" s="16"/>
      <c r="G116" s="16"/>
      <c r="H116" s="16"/>
      <c r="I116" s="17" t="str">
        <f aca="false">IF(B116="","",SUM(J116:N116))</f>
        <v/>
      </c>
      <c r="J116" s="18"/>
      <c r="K116" s="18"/>
      <c r="L116" s="17" t="str">
        <f aca="false">IF(K116="","",ROUND(K116*$P$4,2))</f>
        <v/>
      </c>
      <c r="M116" s="18"/>
      <c r="N116" s="17" t="str">
        <f aca="false">IF(M116="","",ROUND(M116*$P$5,2))</f>
        <v/>
      </c>
      <c r="O116" s="18"/>
      <c r="P116" s="16"/>
      <c r="Q116" s="18"/>
    </row>
    <row r="117" customFormat="false" ht="15" hidden="false" customHeight="false" outlineLevel="0" collapsed="false">
      <c r="A117" s="14" t="str">
        <f aca="false">IF(B117="","",ROW()-11)</f>
        <v/>
      </c>
      <c r="B117" s="15"/>
      <c r="C117" s="16"/>
      <c r="D117" s="16"/>
      <c r="E117" s="16"/>
      <c r="F117" s="16"/>
      <c r="G117" s="16"/>
      <c r="H117" s="16"/>
      <c r="I117" s="17" t="str">
        <f aca="false">IF(B117="","",SUM(J117:N117))</f>
        <v/>
      </c>
      <c r="J117" s="18"/>
      <c r="K117" s="18"/>
      <c r="L117" s="17" t="str">
        <f aca="false">IF(K117="","",ROUND(K117*$P$4,2))</f>
        <v/>
      </c>
      <c r="M117" s="18"/>
      <c r="N117" s="17" t="str">
        <f aca="false">IF(M117="","",ROUND(M117*$P$5,2))</f>
        <v/>
      </c>
      <c r="O117" s="18"/>
      <c r="P117" s="16"/>
      <c r="Q117" s="18"/>
    </row>
    <row r="118" customFormat="false" ht="15" hidden="false" customHeight="false" outlineLevel="0" collapsed="false">
      <c r="A118" s="14" t="str">
        <f aca="false">IF(B118="","",ROW()-11)</f>
        <v/>
      </c>
      <c r="B118" s="15"/>
      <c r="C118" s="16"/>
      <c r="D118" s="16"/>
      <c r="E118" s="16"/>
      <c r="F118" s="16"/>
      <c r="G118" s="16"/>
      <c r="H118" s="16"/>
      <c r="I118" s="17" t="str">
        <f aca="false">IF(B118="","",SUM(J118:N118))</f>
        <v/>
      </c>
      <c r="J118" s="18"/>
      <c r="K118" s="18"/>
      <c r="L118" s="17" t="str">
        <f aca="false">IF(K118="","",ROUND(K118*$P$4,2))</f>
        <v/>
      </c>
      <c r="M118" s="18"/>
      <c r="N118" s="17" t="str">
        <f aca="false">IF(M118="","",ROUND(M118*$P$5,2))</f>
        <v/>
      </c>
      <c r="O118" s="18"/>
      <c r="P118" s="16"/>
      <c r="Q118" s="18"/>
    </row>
    <row r="119" customFormat="false" ht="15" hidden="false" customHeight="false" outlineLevel="0" collapsed="false">
      <c r="A119" s="14" t="str">
        <f aca="false">IF(B119="","",ROW()-11)</f>
        <v/>
      </c>
      <c r="B119" s="15"/>
      <c r="C119" s="16"/>
      <c r="D119" s="16"/>
      <c r="E119" s="16"/>
      <c r="F119" s="16"/>
      <c r="G119" s="16"/>
      <c r="H119" s="16"/>
      <c r="I119" s="17" t="str">
        <f aca="false">IF(B119="","",SUM(J119:N119))</f>
        <v/>
      </c>
      <c r="J119" s="18"/>
      <c r="K119" s="18"/>
      <c r="L119" s="17" t="str">
        <f aca="false">IF(K119="","",ROUND(K119*$P$4,2))</f>
        <v/>
      </c>
      <c r="M119" s="18"/>
      <c r="N119" s="17" t="str">
        <f aca="false">IF(M119="","",ROUND(M119*$P$5,2))</f>
        <v/>
      </c>
      <c r="O119" s="18"/>
      <c r="P119" s="16"/>
      <c r="Q119" s="18"/>
    </row>
    <row r="120" customFormat="false" ht="15" hidden="false" customHeight="false" outlineLevel="0" collapsed="false">
      <c r="A120" s="14" t="str">
        <f aca="false">IF(B120="","",ROW()-11)</f>
        <v/>
      </c>
      <c r="B120" s="15"/>
      <c r="C120" s="16"/>
      <c r="D120" s="16"/>
      <c r="E120" s="16"/>
      <c r="F120" s="16"/>
      <c r="G120" s="16"/>
      <c r="H120" s="16"/>
      <c r="I120" s="17" t="str">
        <f aca="false">IF(B120="","",SUM(J120:N120))</f>
        <v/>
      </c>
      <c r="J120" s="18"/>
      <c r="K120" s="18"/>
      <c r="L120" s="17" t="str">
        <f aca="false">IF(K120="","",ROUND(K120*$P$4,2))</f>
        <v/>
      </c>
      <c r="M120" s="18"/>
      <c r="N120" s="17" t="str">
        <f aca="false">IF(M120="","",ROUND(M120*$P$5,2))</f>
        <v/>
      </c>
      <c r="O120" s="18"/>
      <c r="P120" s="16"/>
      <c r="Q120" s="18"/>
    </row>
    <row r="121" customFormat="false" ht="15" hidden="false" customHeight="false" outlineLevel="0" collapsed="false">
      <c r="A121" s="14" t="str">
        <f aca="false">IF(B121="","",ROW()-11)</f>
        <v/>
      </c>
      <c r="B121" s="15"/>
      <c r="C121" s="16"/>
      <c r="D121" s="16"/>
      <c r="E121" s="16"/>
      <c r="F121" s="16"/>
      <c r="G121" s="16"/>
      <c r="H121" s="16"/>
      <c r="I121" s="17" t="str">
        <f aca="false">IF(B121="","",SUM(J121:N121))</f>
        <v/>
      </c>
      <c r="J121" s="18"/>
      <c r="K121" s="18"/>
      <c r="L121" s="17" t="str">
        <f aca="false">IF(K121="","",ROUND(K121*$P$4,2))</f>
        <v/>
      </c>
      <c r="M121" s="18"/>
      <c r="N121" s="17" t="str">
        <f aca="false">IF(M121="","",ROUND(M121*$P$5,2))</f>
        <v/>
      </c>
      <c r="O121" s="18"/>
      <c r="P121" s="16"/>
      <c r="Q121" s="18"/>
    </row>
    <row r="122" customFormat="false" ht="15" hidden="false" customHeight="false" outlineLevel="0" collapsed="false">
      <c r="A122" s="14" t="str">
        <f aca="false">IF(B122="","",ROW()-11)</f>
        <v/>
      </c>
      <c r="B122" s="15"/>
      <c r="C122" s="16"/>
      <c r="D122" s="16"/>
      <c r="E122" s="16"/>
      <c r="F122" s="16"/>
      <c r="G122" s="16"/>
      <c r="H122" s="16"/>
      <c r="I122" s="17" t="str">
        <f aca="false">IF(B122="","",SUM(J122:N122))</f>
        <v/>
      </c>
      <c r="J122" s="18"/>
      <c r="K122" s="18"/>
      <c r="L122" s="17" t="str">
        <f aca="false">IF(K122="","",ROUND(K122*$P$4,2))</f>
        <v/>
      </c>
      <c r="M122" s="18"/>
      <c r="N122" s="17" t="str">
        <f aca="false">IF(M122="","",ROUND(M122*$P$5,2))</f>
        <v/>
      </c>
      <c r="O122" s="18"/>
      <c r="P122" s="16"/>
      <c r="Q122" s="18"/>
    </row>
    <row r="123" customFormat="false" ht="15" hidden="false" customHeight="false" outlineLevel="0" collapsed="false">
      <c r="A123" s="14" t="str">
        <f aca="false">IF(B123="","",ROW()-11)</f>
        <v/>
      </c>
      <c r="B123" s="15"/>
      <c r="C123" s="16"/>
      <c r="D123" s="16"/>
      <c r="E123" s="16"/>
      <c r="F123" s="16"/>
      <c r="G123" s="16"/>
      <c r="H123" s="16"/>
      <c r="I123" s="17" t="str">
        <f aca="false">IF(B123="","",SUM(J123:N123))</f>
        <v/>
      </c>
      <c r="J123" s="18"/>
      <c r="K123" s="18"/>
      <c r="L123" s="17" t="str">
        <f aca="false">IF(K123="","",ROUND(K123*$P$4,2))</f>
        <v/>
      </c>
      <c r="M123" s="18"/>
      <c r="N123" s="17" t="str">
        <f aca="false">IF(M123="","",ROUND(M123*$P$5,2))</f>
        <v/>
      </c>
      <c r="O123" s="18"/>
      <c r="P123" s="16"/>
      <c r="Q123" s="18"/>
    </row>
    <row r="124" customFormat="false" ht="15" hidden="false" customHeight="false" outlineLevel="0" collapsed="false">
      <c r="A124" s="14" t="str">
        <f aca="false">IF(B124="","",ROW()-11)</f>
        <v/>
      </c>
      <c r="B124" s="15"/>
      <c r="C124" s="16"/>
      <c r="D124" s="16"/>
      <c r="E124" s="16"/>
      <c r="F124" s="16"/>
      <c r="G124" s="16"/>
      <c r="H124" s="16"/>
      <c r="I124" s="17" t="str">
        <f aca="false">IF(B124="","",SUM(J124:N124))</f>
        <v/>
      </c>
      <c r="J124" s="18"/>
      <c r="K124" s="18"/>
      <c r="L124" s="17" t="str">
        <f aca="false">IF(K124="","",ROUND(K124*$P$4,2))</f>
        <v/>
      </c>
      <c r="M124" s="18"/>
      <c r="N124" s="17" t="str">
        <f aca="false">IF(M124="","",ROUND(M124*$P$5,2))</f>
        <v/>
      </c>
      <c r="O124" s="18"/>
      <c r="P124" s="16"/>
      <c r="Q124" s="18"/>
    </row>
    <row r="125" customFormat="false" ht="15" hidden="false" customHeight="false" outlineLevel="0" collapsed="false">
      <c r="A125" s="14" t="str">
        <f aca="false">IF(B125="","",ROW()-11)</f>
        <v/>
      </c>
      <c r="B125" s="15"/>
      <c r="C125" s="16"/>
      <c r="D125" s="16"/>
      <c r="E125" s="16"/>
      <c r="F125" s="16"/>
      <c r="G125" s="16"/>
      <c r="H125" s="16"/>
      <c r="I125" s="17" t="str">
        <f aca="false">IF(B125="","",SUM(J125:N125))</f>
        <v/>
      </c>
      <c r="J125" s="18"/>
      <c r="K125" s="18"/>
      <c r="L125" s="17" t="str">
        <f aca="false">IF(K125="","",ROUND(K125*$P$4,2))</f>
        <v/>
      </c>
      <c r="M125" s="18"/>
      <c r="N125" s="17" t="str">
        <f aca="false">IF(M125="","",ROUND(M125*$P$5,2))</f>
        <v/>
      </c>
      <c r="O125" s="18"/>
      <c r="P125" s="16"/>
      <c r="Q125" s="18"/>
    </row>
    <row r="126" customFormat="false" ht="15" hidden="false" customHeight="false" outlineLevel="0" collapsed="false">
      <c r="A126" s="14" t="str">
        <f aca="false">IF(B126="","",ROW()-11)</f>
        <v/>
      </c>
      <c r="B126" s="15"/>
      <c r="C126" s="16"/>
      <c r="D126" s="16"/>
      <c r="E126" s="16"/>
      <c r="F126" s="16"/>
      <c r="G126" s="16"/>
      <c r="H126" s="16"/>
      <c r="I126" s="17" t="str">
        <f aca="false">IF(B126="","",SUM(J126:N126))</f>
        <v/>
      </c>
      <c r="J126" s="18"/>
      <c r="K126" s="18"/>
      <c r="L126" s="17" t="str">
        <f aca="false">IF(K126="","",ROUND(K126*$P$4,2))</f>
        <v/>
      </c>
      <c r="M126" s="18"/>
      <c r="N126" s="17" t="str">
        <f aca="false">IF(M126="","",ROUND(M126*$P$5,2))</f>
        <v/>
      </c>
      <c r="O126" s="18"/>
      <c r="P126" s="16"/>
      <c r="Q126" s="18"/>
    </row>
    <row r="127" customFormat="false" ht="15" hidden="false" customHeight="false" outlineLevel="0" collapsed="false">
      <c r="A127" s="14" t="str">
        <f aca="false">IF(B127="","",ROW()-11)</f>
        <v/>
      </c>
      <c r="B127" s="15"/>
      <c r="C127" s="16"/>
      <c r="D127" s="16"/>
      <c r="E127" s="16"/>
      <c r="F127" s="16"/>
      <c r="G127" s="16"/>
      <c r="H127" s="16"/>
      <c r="I127" s="17" t="str">
        <f aca="false">IF(B127="","",SUM(J127:N127))</f>
        <v/>
      </c>
      <c r="J127" s="18"/>
      <c r="K127" s="18"/>
      <c r="L127" s="17" t="str">
        <f aca="false">IF(K127="","",ROUND(K127*$P$4,2))</f>
        <v/>
      </c>
      <c r="M127" s="18"/>
      <c r="N127" s="17" t="str">
        <f aca="false">IF(M127="","",ROUND(M127*$P$5,2))</f>
        <v/>
      </c>
      <c r="O127" s="18"/>
      <c r="P127" s="16"/>
      <c r="Q127" s="18"/>
    </row>
    <row r="128" customFormat="false" ht="15" hidden="false" customHeight="false" outlineLevel="0" collapsed="false">
      <c r="A128" s="14" t="str">
        <f aca="false">IF(B128="","",ROW()-11)</f>
        <v/>
      </c>
      <c r="B128" s="15"/>
      <c r="C128" s="16"/>
      <c r="D128" s="16"/>
      <c r="E128" s="16"/>
      <c r="F128" s="16"/>
      <c r="G128" s="16"/>
      <c r="H128" s="16"/>
      <c r="I128" s="17" t="str">
        <f aca="false">IF(B128="","",SUM(J128:N128))</f>
        <v/>
      </c>
      <c r="J128" s="18"/>
      <c r="K128" s="18"/>
      <c r="L128" s="17" t="str">
        <f aca="false">IF(K128="","",ROUND(K128*$P$4,2))</f>
        <v/>
      </c>
      <c r="M128" s="18"/>
      <c r="N128" s="17" t="str">
        <f aca="false">IF(M128="","",ROUND(M128*$P$5,2))</f>
        <v/>
      </c>
      <c r="O128" s="18"/>
      <c r="P128" s="16"/>
      <c r="Q128" s="18"/>
    </row>
    <row r="129" customFormat="false" ht="15" hidden="false" customHeight="false" outlineLevel="0" collapsed="false">
      <c r="A129" s="14" t="str">
        <f aca="false">IF(B129="","",ROW()-11)</f>
        <v/>
      </c>
      <c r="B129" s="15"/>
      <c r="C129" s="16"/>
      <c r="D129" s="16"/>
      <c r="E129" s="16"/>
      <c r="F129" s="16"/>
      <c r="G129" s="16"/>
      <c r="H129" s="16"/>
      <c r="I129" s="17" t="str">
        <f aca="false">IF(B129="","",SUM(J129:N129))</f>
        <v/>
      </c>
      <c r="J129" s="18"/>
      <c r="K129" s="18"/>
      <c r="L129" s="17" t="str">
        <f aca="false">IF(K129="","",ROUND(K129*$P$4,2))</f>
        <v/>
      </c>
      <c r="M129" s="18"/>
      <c r="N129" s="17" t="str">
        <f aca="false">IF(M129="","",ROUND(M129*$P$5,2))</f>
        <v/>
      </c>
      <c r="O129" s="18"/>
      <c r="P129" s="16"/>
      <c r="Q129" s="18"/>
    </row>
    <row r="130" customFormat="false" ht="15" hidden="false" customHeight="false" outlineLevel="0" collapsed="false">
      <c r="A130" s="14" t="str">
        <f aca="false">IF(B130="","",ROW()-11)</f>
        <v/>
      </c>
      <c r="B130" s="15"/>
      <c r="C130" s="16"/>
      <c r="D130" s="16"/>
      <c r="E130" s="16"/>
      <c r="F130" s="16"/>
      <c r="G130" s="16"/>
      <c r="H130" s="16"/>
      <c r="I130" s="17" t="str">
        <f aca="false">IF(B130="","",SUM(J130:N130))</f>
        <v/>
      </c>
      <c r="J130" s="18"/>
      <c r="K130" s="18"/>
      <c r="L130" s="17" t="str">
        <f aca="false">IF(K130="","",ROUND(K130*$P$4,2))</f>
        <v/>
      </c>
      <c r="M130" s="18"/>
      <c r="N130" s="17" t="str">
        <f aca="false">IF(M130="","",ROUND(M130*$P$5,2))</f>
        <v/>
      </c>
      <c r="O130" s="18"/>
      <c r="P130" s="16"/>
      <c r="Q130" s="18"/>
    </row>
    <row r="131" customFormat="false" ht="15" hidden="false" customHeight="false" outlineLevel="0" collapsed="false">
      <c r="A131" s="14" t="str">
        <f aca="false">IF(B131="","",ROW()-11)</f>
        <v/>
      </c>
      <c r="B131" s="15"/>
      <c r="C131" s="16"/>
      <c r="D131" s="16"/>
      <c r="E131" s="16"/>
      <c r="F131" s="16"/>
      <c r="G131" s="16"/>
      <c r="H131" s="16"/>
      <c r="I131" s="17" t="str">
        <f aca="false">IF(B131="","",SUM(J131:N131))</f>
        <v/>
      </c>
      <c r="J131" s="18"/>
      <c r="K131" s="18"/>
      <c r="L131" s="17" t="str">
        <f aca="false">IF(K131="","",ROUND(K131*$P$4,2))</f>
        <v/>
      </c>
      <c r="M131" s="18"/>
      <c r="N131" s="17" t="str">
        <f aca="false">IF(M131="","",ROUND(M131*$P$5,2))</f>
        <v/>
      </c>
      <c r="O131" s="18"/>
      <c r="P131" s="16"/>
      <c r="Q131" s="18"/>
    </row>
    <row r="132" customFormat="false" ht="15" hidden="false" customHeight="false" outlineLevel="0" collapsed="false">
      <c r="A132" s="14" t="str">
        <f aca="false">IF(B132="","",ROW()-11)</f>
        <v/>
      </c>
      <c r="B132" s="15"/>
      <c r="C132" s="16"/>
      <c r="D132" s="16"/>
      <c r="E132" s="16"/>
      <c r="F132" s="16"/>
      <c r="G132" s="16"/>
      <c r="H132" s="16"/>
      <c r="I132" s="17" t="str">
        <f aca="false">IF(B132="","",SUM(J132:N132))</f>
        <v/>
      </c>
      <c r="J132" s="18"/>
      <c r="K132" s="18"/>
      <c r="L132" s="17" t="str">
        <f aca="false">IF(K132="","",ROUND(K132*$P$4,2))</f>
        <v/>
      </c>
      <c r="M132" s="18"/>
      <c r="N132" s="17" t="str">
        <f aca="false">IF(M132="","",ROUND(M132*$P$5,2))</f>
        <v/>
      </c>
      <c r="O132" s="18"/>
      <c r="P132" s="16"/>
      <c r="Q132" s="18"/>
    </row>
    <row r="133" customFormat="false" ht="15" hidden="false" customHeight="false" outlineLevel="0" collapsed="false">
      <c r="A133" s="14" t="str">
        <f aca="false">IF(B133="","",ROW()-11)</f>
        <v/>
      </c>
      <c r="B133" s="15"/>
      <c r="C133" s="16"/>
      <c r="D133" s="16"/>
      <c r="E133" s="16"/>
      <c r="F133" s="16"/>
      <c r="G133" s="16"/>
      <c r="H133" s="16"/>
      <c r="I133" s="17" t="str">
        <f aca="false">IF(B133="","",SUM(J133:N133))</f>
        <v/>
      </c>
      <c r="J133" s="18"/>
      <c r="K133" s="18"/>
      <c r="L133" s="17" t="str">
        <f aca="false">IF(K133="","",ROUND(K133*$P$4,2))</f>
        <v/>
      </c>
      <c r="M133" s="18"/>
      <c r="N133" s="17" t="str">
        <f aca="false">IF(M133="","",ROUND(M133*$P$5,2))</f>
        <v/>
      </c>
      <c r="O133" s="18"/>
      <c r="P133" s="16"/>
      <c r="Q133" s="18"/>
    </row>
    <row r="134" customFormat="false" ht="15" hidden="false" customHeight="false" outlineLevel="0" collapsed="false">
      <c r="A134" s="14" t="str">
        <f aca="false">IF(B134="","",ROW()-11)</f>
        <v/>
      </c>
      <c r="B134" s="15"/>
      <c r="C134" s="16"/>
      <c r="D134" s="16"/>
      <c r="E134" s="16"/>
      <c r="F134" s="16"/>
      <c r="G134" s="16"/>
      <c r="H134" s="16"/>
      <c r="I134" s="17" t="str">
        <f aca="false">IF(B134="","",SUM(J134:N134))</f>
        <v/>
      </c>
      <c r="J134" s="18"/>
      <c r="K134" s="18"/>
      <c r="L134" s="17" t="str">
        <f aca="false">IF(K134="","",ROUND(K134*$P$4,2))</f>
        <v/>
      </c>
      <c r="M134" s="18"/>
      <c r="N134" s="17" t="str">
        <f aca="false">IF(M134="","",ROUND(M134*$P$5,2))</f>
        <v/>
      </c>
      <c r="O134" s="18"/>
      <c r="P134" s="16"/>
      <c r="Q134" s="18"/>
    </row>
    <row r="135" customFormat="false" ht="15" hidden="false" customHeight="false" outlineLevel="0" collapsed="false">
      <c r="A135" s="14" t="str">
        <f aca="false">IF(B135="","",ROW()-11)</f>
        <v/>
      </c>
      <c r="B135" s="15"/>
      <c r="C135" s="16"/>
      <c r="D135" s="16"/>
      <c r="E135" s="16"/>
      <c r="F135" s="16"/>
      <c r="G135" s="16"/>
      <c r="H135" s="16"/>
      <c r="I135" s="17" t="str">
        <f aca="false">IF(B135="","",SUM(J135:N135))</f>
        <v/>
      </c>
      <c r="J135" s="18"/>
      <c r="K135" s="18"/>
      <c r="L135" s="17" t="str">
        <f aca="false">IF(K135="","",ROUND(K135*$P$4,2))</f>
        <v/>
      </c>
      <c r="M135" s="18"/>
      <c r="N135" s="17" t="str">
        <f aca="false">IF(M135="","",ROUND(M135*$P$5,2))</f>
        <v/>
      </c>
      <c r="O135" s="18"/>
      <c r="P135" s="16"/>
      <c r="Q135" s="18"/>
    </row>
    <row r="136" customFormat="false" ht="15" hidden="false" customHeight="false" outlineLevel="0" collapsed="false">
      <c r="A136" s="14" t="str">
        <f aca="false">IF(B136="","",ROW()-11)</f>
        <v/>
      </c>
      <c r="B136" s="15"/>
      <c r="C136" s="16"/>
      <c r="D136" s="16"/>
      <c r="E136" s="16"/>
      <c r="F136" s="16"/>
      <c r="G136" s="16"/>
      <c r="H136" s="16"/>
      <c r="I136" s="17" t="str">
        <f aca="false">IF(B136="","",SUM(J136:N136))</f>
        <v/>
      </c>
      <c r="J136" s="18"/>
      <c r="K136" s="18"/>
      <c r="L136" s="17" t="str">
        <f aca="false">IF(K136="","",ROUND(K136*$P$4,2))</f>
        <v/>
      </c>
      <c r="M136" s="18"/>
      <c r="N136" s="17" t="str">
        <f aca="false">IF(M136="","",ROUND(M136*$P$5,2))</f>
        <v/>
      </c>
      <c r="O136" s="18"/>
      <c r="P136" s="16"/>
      <c r="Q136" s="18"/>
    </row>
    <row r="137" customFormat="false" ht="15" hidden="false" customHeight="false" outlineLevel="0" collapsed="false">
      <c r="A137" s="14" t="str">
        <f aca="false">IF(B137="","",ROW()-11)</f>
        <v/>
      </c>
      <c r="B137" s="15"/>
      <c r="C137" s="16"/>
      <c r="D137" s="16"/>
      <c r="E137" s="16"/>
      <c r="F137" s="16"/>
      <c r="G137" s="16"/>
      <c r="H137" s="16"/>
      <c r="I137" s="17" t="str">
        <f aca="false">IF(B137="","",SUM(J137:N137))</f>
        <v/>
      </c>
      <c r="J137" s="18"/>
      <c r="K137" s="18"/>
      <c r="L137" s="17" t="str">
        <f aca="false">IF(K137="","",ROUND(K137*$P$4,2))</f>
        <v/>
      </c>
      <c r="M137" s="18"/>
      <c r="N137" s="17" t="str">
        <f aca="false">IF(M137="","",ROUND(M137*$P$5,2))</f>
        <v/>
      </c>
      <c r="O137" s="18"/>
      <c r="P137" s="16"/>
      <c r="Q137" s="18"/>
    </row>
    <row r="138" customFormat="false" ht="15" hidden="false" customHeight="false" outlineLevel="0" collapsed="false">
      <c r="A138" s="14" t="str">
        <f aca="false">IF(B138="","",ROW()-11)</f>
        <v/>
      </c>
      <c r="B138" s="15"/>
      <c r="C138" s="16"/>
      <c r="D138" s="16"/>
      <c r="E138" s="16"/>
      <c r="F138" s="16"/>
      <c r="G138" s="16"/>
      <c r="H138" s="16"/>
      <c r="I138" s="17" t="str">
        <f aca="false">IF(B138="","",SUM(J138:N138))</f>
        <v/>
      </c>
      <c r="J138" s="18"/>
      <c r="K138" s="18"/>
      <c r="L138" s="17" t="str">
        <f aca="false">IF(K138="","",ROUND(K138*$P$4,2))</f>
        <v/>
      </c>
      <c r="M138" s="18"/>
      <c r="N138" s="17" t="str">
        <f aca="false">IF(M138="","",ROUND(M138*$P$5,2))</f>
        <v/>
      </c>
      <c r="O138" s="18"/>
      <c r="P138" s="16"/>
      <c r="Q138" s="18"/>
    </row>
    <row r="139" customFormat="false" ht="15" hidden="false" customHeight="false" outlineLevel="0" collapsed="false">
      <c r="A139" s="14" t="str">
        <f aca="false">IF(B139="","",ROW()-11)</f>
        <v/>
      </c>
      <c r="B139" s="15"/>
      <c r="C139" s="16"/>
      <c r="D139" s="16"/>
      <c r="E139" s="16"/>
      <c r="F139" s="16"/>
      <c r="G139" s="16"/>
      <c r="H139" s="16"/>
      <c r="I139" s="17" t="str">
        <f aca="false">IF(B139="","",SUM(J139:N139))</f>
        <v/>
      </c>
      <c r="J139" s="18"/>
      <c r="K139" s="18"/>
      <c r="L139" s="17" t="str">
        <f aca="false">IF(K139="","",ROUND(K139*$P$4,2))</f>
        <v/>
      </c>
      <c r="M139" s="18"/>
      <c r="N139" s="17" t="str">
        <f aca="false">IF(M139="","",ROUND(M139*$P$5,2))</f>
        <v/>
      </c>
      <c r="O139" s="18"/>
      <c r="P139" s="16"/>
      <c r="Q139" s="18"/>
    </row>
    <row r="140" customFormat="false" ht="15" hidden="false" customHeight="false" outlineLevel="0" collapsed="false">
      <c r="A140" s="14" t="str">
        <f aca="false">IF(B140="","",ROW()-11)</f>
        <v/>
      </c>
      <c r="B140" s="15"/>
      <c r="C140" s="16"/>
      <c r="D140" s="16"/>
      <c r="E140" s="16"/>
      <c r="F140" s="16"/>
      <c r="G140" s="16"/>
      <c r="H140" s="16"/>
      <c r="I140" s="17" t="str">
        <f aca="false">IF(B140="","",SUM(J140:N140))</f>
        <v/>
      </c>
      <c r="J140" s="18"/>
      <c r="K140" s="18"/>
      <c r="L140" s="17" t="str">
        <f aca="false">IF(K140="","",ROUND(K140*$P$4,2))</f>
        <v/>
      </c>
      <c r="M140" s="18"/>
      <c r="N140" s="17" t="str">
        <f aca="false">IF(M140="","",ROUND(M140*$P$5,2))</f>
        <v/>
      </c>
      <c r="O140" s="18"/>
      <c r="P140" s="16"/>
      <c r="Q140" s="18"/>
    </row>
    <row r="141" customFormat="false" ht="15" hidden="false" customHeight="false" outlineLevel="0" collapsed="false">
      <c r="A141" s="14" t="str">
        <f aca="false">IF(B141="","",ROW()-11)</f>
        <v/>
      </c>
      <c r="B141" s="15"/>
      <c r="C141" s="16"/>
      <c r="D141" s="16"/>
      <c r="E141" s="16"/>
      <c r="F141" s="16"/>
      <c r="G141" s="16"/>
      <c r="H141" s="16"/>
      <c r="I141" s="17" t="str">
        <f aca="false">IF(B141="","",SUM(J141:N141))</f>
        <v/>
      </c>
      <c r="J141" s="18"/>
      <c r="K141" s="18"/>
      <c r="L141" s="17" t="str">
        <f aca="false">IF(K141="","",ROUND(K141*$P$4,2))</f>
        <v/>
      </c>
      <c r="M141" s="18"/>
      <c r="N141" s="17" t="str">
        <f aca="false">IF(M141="","",ROUND(M141*$P$5,2))</f>
        <v/>
      </c>
      <c r="O141" s="18"/>
      <c r="P141" s="16"/>
      <c r="Q141" s="18"/>
    </row>
    <row r="142" customFormat="false" ht="15" hidden="false" customHeight="false" outlineLevel="0" collapsed="false">
      <c r="A142" s="14" t="str">
        <f aca="false">IF(B142="","",ROW()-11)</f>
        <v/>
      </c>
      <c r="B142" s="15"/>
      <c r="C142" s="16"/>
      <c r="D142" s="16"/>
      <c r="E142" s="16"/>
      <c r="F142" s="16"/>
      <c r="G142" s="16"/>
      <c r="H142" s="16"/>
      <c r="I142" s="17" t="str">
        <f aca="false">IF(B142="","",SUM(J142:N142))</f>
        <v/>
      </c>
      <c r="J142" s="18"/>
      <c r="K142" s="18"/>
      <c r="L142" s="17" t="str">
        <f aca="false">IF(K142="","",ROUND(K142*$P$4,2))</f>
        <v/>
      </c>
      <c r="M142" s="18"/>
      <c r="N142" s="17" t="str">
        <f aca="false">IF(M142="","",ROUND(M142*$P$5,2))</f>
        <v/>
      </c>
      <c r="O142" s="18"/>
      <c r="P142" s="16"/>
      <c r="Q142" s="18"/>
    </row>
    <row r="143" customFormat="false" ht="15" hidden="false" customHeight="false" outlineLevel="0" collapsed="false">
      <c r="A143" s="14" t="str">
        <f aca="false">IF(B143="","",ROW()-11)</f>
        <v/>
      </c>
      <c r="B143" s="15"/>
      <c r="C143" s="16"/>
      <c r="D143" s="16"/>
      <c r="E143" s="16"/>
      <c r="F143" s="16"/>
      <c r="G143" s="16"/>
      <c r="H143" s="16"/>
      <c r="I143" s="17" t="str">
        <f aca="false">IF(B143="","",SUM(J143:N143))</f>
        <v/>
      </c>
      <c r="J143" s="18"/>
      <c r="K143" s="18"/>
      <c r="L143" s="17" t="str">
        <f aca="false">IF(K143="","",ROUND(K143*$P$4,2))</f>
        <v/>
      </c>
      <c r="M143" s="18"/>
      <c r="N143" s="17" t="str">
        <f aca="false">IF(M143="","",ROUND(M143*$P$5,2))</f>
        <v/>
      </c>
      <c r="O143" s="18"/>
      <c r="P143" s="16"/>
      <c r="Q143" s="18"/>
    </row>
    <row r="144" customFormat="false" ht="15" hidden="false" customHeight="false" outlineLevel="0" collapsed="false">
      <c r="A144" s="14" t="str">
        <f aca="false">IF(B144="","",ROW()-11)</f>
        <v/>
      </c>
      <c r="B144" s="15"/>
      <c r="C144" s="16"/>
      <c r="D144" s="16"/>
      <c r="E144" s="16"/>
      <c r="F144" s="16"/>
      <c r="G144" s="16"/>
      <c r="H144" s="16"/>
      <c r="I144" s="17" t="str">
        <f aca="false">IF(B144="","",SUM(J144:N144))</f>
        <v/>
      </c>
      <c r="J144" s="18"/>
      <c r="K144" s="18"/>
      <c r="L144" s="17" t="str">
        <f aca="false">IF(K144="","",ROUND(K144*$P$4,2))</f>
        <v/>
      </c>
      <c r="M144" s="18"/>
      <c r="N144" s="17" t="str">
        <f aca="false">IF(M144="","",ROUND(M144*$P$5,2))</f>
        <v/>
      </c>
      <c r="O144" s="18"/>
      <c r="P144" s="16"/>
      <c r="Q144" s="18"/>
    </row>
    <row r="145" customFormat="false" ht="15" hidden="false" customHeight="false" outlineLevel="0" collapsed="false">
      <c r="A145" s="14" t="str">
        <f aca="false">IF(B145="","",ROW()-11)</f>
        <v/>
      </c>
      <c r="B145" s="15"/>
      <c r="C145" s="16"/>
      <c r="D145" s="16"/>
      <c r="E145" s="16"/>
      <c r="F145" s="16"/>
      <c r="G145" s="16"/>
      <c r="H145" s="16"/>
      <c r="I145" s="17" t="str">
        <f aca="false">IF(B145="","",SUM(J145:N145))</f>
        <v/>
      </c>
      <c r="J145" s="18"/>
      <c r="K145" s="18"/>
      <c r="L145" s="17" t="str">
        <f aca="false">IF(K145="","",ROUND(K145*$P$4,2))</f>
        <v/>
      </c>
      <c r="M145" s="18"/>
      <c r="N145" s="17" t="str">
        <f aca="false">IF(M145="","",ROUND(M145*$P$5,2))</f>
        <v/>
      </c>
      <c r="O145" s="18"/>
      <c r="P145" s="16"/>
      <c r="Q145" s="18"/>
    </row>
    <row r="146" customFormat="false" ht="15" hidden="false" customHeight="false" outlineLevel="0" collapsed="false">
      <c r="A146" s="14" t="str">
        <f aca="false">IF(B146="","",ROW()-11)</f>
        <v/>
      </c>
      <c r="B146" s="15"/>
      <c r="C146" s="16"/>
      <c r="D146" s="16"/>
      <c r="E146" s="16"/>
      <c r="F146" s="16"/>
      <c r="G146" s="16"/>
      <c r="H146" s="16"/>
      <c r="I146" s="17" t="str">
        <f aca="false">IF(B146="","",SUM(J146:N146))</f>
        <v/>
      </c>
      <c r="J146" s="18"/>
      <c r="K146" s="18"/>
      <c r="L146" s="17" t="str">
        <f aca="false">IF(K146="","",ROUND(K146*$P$4,2))</f>
        <v/>
      </c>
      <c r="M146" s="18"/>
      <c r="N146" s="17" t="str">
        <f aca="false">IF(M146="","",ROUND(M146*$P$5,2))</f>
        <v/>
      </c>
      <c r="O146" s="18"/>
      <c r="P146" s="16"/>
      <c r="Q146" s="18"/>
    </row>
    <row r="147" customFormat="false" ht="15" hidden="false" customHeight="false" outlineLevel="0" collapsed="false">
      <c r="A147" s="14" t="str">
        <f aca="false">IF(B147="","",ROW()-11)</f>
        <v/>
      </c>
      <c r="B147" s="15"/>
      <c r="C147" s="16"/>
      <c r="D147" s="16"/>
      <c r="E147" s="16"/>
      <c r="F147" s="16"/>
      <c r="G147" s="16"/>
      <c r="H147" s="16"/>
      <c r="I147" s="17" t="str">
        <f aca="false">IF(B147="","",SUM(J147:N147))</f>
        <v/>
      </c>
      <c r="J147" s="18"/>
      <c r="K147" s="18"/>
      <c r="L147" s="17" t="str">
        <f aca="false">IF(K147="","",ROUND(K147*$P$4,2))</f>
        <v/>
      </c>
      <c r="M147" s="18"/>
      <c r="N147" s="17" t="str">
        <f aca="false">IF(M147="","",ROUND(M147*$P$5,2))</f>
        <v/>
      </c>
      <c r="O147" s="18"/>
      <c r="P147" s="16"/>
      <c r="Q147" s="18"/>
    </row>
    <row r="148" customFormat="false" ht="15" hidden="false" customHeight="false" outlineLevel="0" collapsed="false">
      <c r="A148" s="14" t="str">
        <f aca="false">IF(B148="","",ROW()-11)</f>
        <v/>
      </c>
      <c r="B148" s="15"/>
      <c r="C148" s="16"/>
      <c r="D148" s="16"/>
      <c r="E148" s="16"/>
      <c r="F148" s="16"/>
      <c r="G148" s="16"/>
      <c r="H148" s="16"/>
      <c r="I148" s="17" t="str">
        <f aca="false">IF(B148="","",SUM(J148:N148))</f>
        <v/>
      </c>
      <c r="J148" s="18"/>
      <c r="K148" s="18"/>
      <c r="L148" s="17" t="str">
        <f aca="false">IF(K148="","",ROUND(K148*$P$4,2))</f>
        <v/>
      </c>
      <c r="M148" s="18"/>
      <c r="N148" s="17" t="str">
        <f aca="false">IF(M148="","",ROUND(M148*$P$5,2))</f>
        <v/>
      </c>
      <c r="O148" s="18"/>
      <c r="P148" s="16"/>
      <c r="Q148" s="18"/>
    </row>
    <row r="149" customFormat="false" ht="15" hidden="false" customHeight="false" outlineLevel="0" collapsed="false">
      <c r="A149" s="14" t="str">
        <f aca="false">IF(B149="","",ROW()-11)</f>
        <v/>
      </c>
      <c r="B149" s="15"/>
      <c r="C149" s="16"/>
      <c r="D149" s="16"/>
      <c r="E149" s="16"/>
      <c r="F149" s="16"/>
      <c r="G149" s="16"/>
      <c r="H149" s="16"/>
      <c r="I149" s="17" t="str">
        <f aca="false">IF(B149="","",SUM(J149:N149))</f>
        <v/>
      </c>
      <c r="J149" s="18"/>
      <c r="K149" s="18"/>
      <c r="L149" s="17" t="str">
        <f aca="false">IF(K149="","",ROUND(K149*$P$4,2))</f>
        <v/>
      </c>
      <c r="M149" s="18"/>
      <c r="N149" s="17" t="str">
        <f aca="false">IF(M149="","",ROUND(M149*$P$5,2))</f>
        <v/>
      </c>
      <c r="O149" s="18"/>
      <c r="P149" s="16"/>
      <c r="Q149" s="18"/>
    </row>
    <row r="150" customFormat="false" ht="15" hidden="false" customHeight="false" outlineLevel="0" collapsed="false">
      <c r="A150" s="14" t="str">
        <f aca="false">IF(B150="","",ROW()-11)</f>
        <v/>
      </c>
      <c r="B150" s="15"/>
      <c r="C150" s="16"/>
      <c r="D150" s="16"/>
      <c r="E150" s="16"/>
      <c r="F150" s="16"/>
      <c r="G150" s="16"/>
      <c r="H150" s="16"/>
      <c r="I150" s="17" t="str">
        <f aca="false">IF(B150="","",SUM(J150:N150))</f>
        <v/>
      </c>
      <c r="J150" s="18"/>
      <c r="K150" s="18"/>
      <c r="L150" s="17" t="str">
        <f aca="false">IF(K150="","",ROUND(K150*$P$4,2))</f>
        <v/>
      </c>
      <c r="M150" s="18"/>
      <c r="N150" s="17" t="str">
        <f aca="false">IF(M150="","",ROUND(M150*$P$5,2))</f>
        <v/>
      </c>
      <c r="O150" s="18"/>
      <c r="P150" s="16"/>
      <c r="Q150" s="18"/>
    </row>
    <row r="151" customFormat="false" ht="15" hidden="false" customHeight="false" outlineLevel="0" collapsed="false">
      <c r="A151" s="14" t="str">
        <f aca="false">IF(B151="","",ROW()-11)</f>
        <v/>
      </c>
      <c r="B151" s="15"/>
      <c r="C151" s="16"/>
      <c r="D151" s="16"/>
      <c r="E151" s="16"/>
      <c r="F151" s="16"/>
      <c r="G151" s="16"/>
      <c r="H151" s="16"/>
      <c r="I151" s="17" t="str">
        <f aca="false">IF(B151="","",SUM(J151:N151))</f>
        <v/>
      </c>
      <c r="J151" s="18"/>
      <c r="K151" s="18"/>
      <c r="L151" s="17" t="str">
        <f aca="false">IF(K151="","",ROUND(K151*$P$4,2))</f>
        <v/>
      </c>
      <c r="M151" s="18"/>
      <c r="N151" s="17" t="str">
        <f aca="false">IF(M151="","",ROUND(M151*$P$5,2))</f>
        <v/>
      </c>
      <c r="O151" s="18"/>
      <c r="P151" s="16"/>
      <c r="Q151" s="18"/>
    </row>
    <row r="152" customFormat="false" ht="15" hidden="false" customHeight="false" outlineLevel="0" collapsed="false">
      <c r="A152" s="14" t="str">
        <f aca="false">IF(B152="","",ROW()-11)</f>
        <v/>
      </c>
      <c r="B152" s="15"/>
      <c r="C152" s="16"/>
      <c r="D152" s="16"/>
      <c r="E152" s="16"/>
      <c r="F152" s="16"/>
      <c r="G152" s="16"/>
      <c r="H152" s="16"/>
      <c r="I152" s="17" t="str">
        <f aca="false">IF(B152="","",SUM(J152:N152))</f>
        <v/>
      </c>
      <c r="J152" s="18"/>
      <c r="K152" s="18"/>
      <c r="L152" s="17" t="str">
        <f aca="false">IF(K152="","",ROUND(K152*$P$4,2))</f>
        <v/>
      </c>
      <c r="M152" s="18"/>
      <c r="N152" s="17" t="str">
        <f aca="false">IF(M152="","",ROUND(M152*$P$5,2))</f>
        <v/>
      </c>
      <c r="O152" s="18"/>
      <c r="P152" s="16"/>
      <c r="Q152" s="18"/>
    </row>
    <row r="153" customFormat="false" ht="15" hidden="false" customHeight="false" outlineLevel="0" collapsed="false">
      <c r="A153" s="14" t="str">
        <f aca="false">IF(B153="","",ROW()-11)</f>
        <v/>
      </c>
      <c r="B153" s="15"/>
      <c r="C153" s="16"/>
      <c r="D153" s="16"/>
      <c r="E153" s="16"/>
      <c r="F153" s="16"/>
      <c r="G153" s="16"/>
      <c r="H153" s="16"/>
      <c r="I153" s="17" t="str">
        <f aca="false">IF(B153="","",SUM(J153:N153))</f>
        <v/>
      </c>
      <c r="J153" s="18"/>
      <c r="K153" s="18"/>
      <c r="L153" s="17" t="str">
        <f aca="false">IF(K153="","",ROUND(K153*$P$4,2))</f>
        <v/>
      </c>
      <c r="M153" s="18"/>
      <c r="N153" s="17" t="str">
        <f aca="false">IF(M153="","",ROUND(M153*$P$5,2))</f>
        <v/>
      </c>
      <c r="O153" s="18"/>
      <c r="P153" s="16"/>
      <c r="Q153" s="18"/>
    </row>
    <row r="154" customFormat="false" ht="15" hidden="false" customHeight="false" outlineLevel="0" collapsed="false">
      <c r="A154" s="14" t="str">
        <f aca="false">IF(B154="","",ROW()-11)</f>
        <v/>
      </c>
      <c r="B154" s="15"/>
      <c r="C154" s="16"/>
      <c r="D154" s="16"/>
      <c r="E154" s="16"/>
      <c r="F154" s="16"/>
      <c r="G154" s="16"/>
      <c r="H154" s="16"/>
      <c r="I154" s="17" t="str">
        <f aca="false">IF(B154="","",SUM(J154:N154))</f>
        <v/>
      </c>
      <c r="J154" s="18"/>
      <c r="K154" s="18"/>
      <c r="L154" s="17" t="str">
        <f aca="false">IF(K154="","",ROUND(K154*$P$4,2))</f>
        <v/>
      </c>
      <c r="M154" s="18"/>
      <c r="N154" s="17" t="str">
        <f aca="false">IF(M154="","",ROUND(M154*$P$5,2))</f>
        <v/>
      </c>
      <c r="O154" s="18"/>
      <c r="P154" s="16"/>
      <c r="Q154" s="18"/>
    </row>
    <row r="155" customFormat="false" ht="15" hidden="false" customHeight="false" outlineLevel="0" collapsed="false">
      <c r="A155" s="14" t="str">
        <f aca="false">IF(B155="","",ROW()-11)</f>
        <v/>
      </c>
      <c r="B155" s="15"/>
      <c r="C155" s="16"/>
      <c r="D155" s="16"/>
      <c r="E155" s="16"/>
      <c r="F155" s="16"/>
      <c r="G155" s="16"/>
      <c r="H155" s="16"/>
      <c r="I155" s="17" t="str">
        <f aca="false">IF(B155="","",SUM(J155:N155))</f>
        <v/>
      </c>
      <c r="J155" s="18"/>
      <c r="K155" s="18"/>
      <c r="L155" s="17" t="str">
        <f aca="false">IF(K155="","",ROUND(K155*$P$4,2))</f>
        <v/>
      </c>
      <c r="M155" s="18"/>
      <c r="N155" s="17" t="str">
        <f aca="false">IF(M155="","",ROUND(M155*$P$5,2))</f>
        <v/>
      </c>
      <c r="O155" s="18"/>
      <c r="P155" s="16"/>
      <c r="Q155" s="18"/>
    </row>
    <row r="156" customFormat="false" ht="15" hidden="false" customHeight="false" outlineLevel="0" collapsed="false">
      <c r="A156" s="14" t="str">
        <f aca="false">IF(B156="","",ROW()-11)</f>
        <v/>
      </c>
      <c r="B156" s="15"/>
      <c r="C156" s="16"/>
      <c r="D156" s="16"/>
      <c r="E156" s="16"/>
      <c r="F156" s="16"/>
      <c r="G156" s="16"/>
      <c r="H156" s="16"/>
      <c r="I156" s="17" t="str">
        <f aca="false">IF(B156="","",SUM(J156:N156))</f>
        <v/>
      </c>
      <c r="J156" s="18"/>
      <c r="K156" s="18"/>
      <c r="L156" s="17" t="str">
        <f aca="false">IF(K156="","",ROUND(K156*$P$4,2))</f>
        <v/>
      </c>
      <c r="M156" s="18"/>
      <c r="N156" s="17" t="str">
        <f aca="false">IF(M156="","",ROUND(M156*$P$5,2))</f>
        <v/>
      </c>
      <c r="O156" s="18"/>
      <c r="P156" s="16"/>
      <c r="Q156" s="18"/>
    </row>
    <row r="157" customFormat="false" ht="15" hidden="false" customHeight="false" outlineLevel="0" collapsed="false">
      <c r="A157" s="14" t="str">
        <f aca="false">IF(B157="","",ROW()-11)</f>
        <v/>
      </c>
      <c r="B157" s="15"/>
      <c r="C157" s="16"/>
      <c r="D157" s="16"/>
      <c r="E157" s="16"/>
      <c r="F157" s="16"/>
      <c r="G157" s="16"/>
      <c r="H157" s="16"/>
      <c r="I157" s="17" t="str">
        <f aca="false">IF(B157="","",SUM(J157:N157))</f>
        <v/>
      </c>
      <c r="J157" s="18"/>
      <c r="K157" s="18"/>
      <c r="L157" s="17" t="str">
        <f aca="false">IF(K157="","",ROUND(K157*$P$4,2))</f>
        <v/>
      </c>
      <c r="M157" s="18"/>
      <c r="N157" s="17" t="str">
        <f aca="false">IF(M157="","",ROUND(M157*$P$5,2))</f>
        <v/>
      </c>
      <c r="O157" s="18"/>
      <c r="P157" s="16"/>
      <c r="Q157" s="18"/>
    </row>
    <row r="158" customFormat="false" ht="15" hidden="false" customHeight="false" outlineLevel="0" collapsed="false">
      <c r="A158" s="14" t="str">
        <f aca="false">IF(B158="","",ROW()-11)</f>
        <v/>
      </c>
      <c r="B158" s="15"/>
      <c r="C158" s="16"/>
      <c r="D158" s="16"/>
      <c r="E158" s="16"/>
      <c r="F158" s="16"/>
      <c r="G158" s="16"/>
      <c r="H158" s="16"/>
      <c r="I158" s="17" t="str">
        <f aca="false">IF(B158="","",SUM(J158:N158))</f>
        <v/>
      </c>
      <c r="J158" s="18"/>
      <c r="K158" s="18"/>
      <c r="L158" s="17" t="str">
        <f aca="false">IF(K158="","",ROUND(K158*$P$4,2))</f>
        <v/>
      </c>
      <c r="M158" s="18"/>
      <c r="N158" s="17" t="str">
        <f aca="false">IF(M158="","",ROUND(M158*$P$5,2))</f>
        <v/>
      </c>
      <c r="O158" s="18"/>
      <c r="P158" s="16"/>
      <c r="Q158" s="18"/>
    </row>
    <row r="159" customFormat="false" ht="15" hidden="false" customHeight="false" outlineLevel="0" collapsed="false">
      <c r="A159" s="14" t="str">
        <f aca="false">IF(B159="","",ROW()-11)</f>
        <v/>
      </c>
      <c r="B159" s="15"/>
      <c r="C159" s="16"/>
      <c r="D159" s="16"/>
      <c r="E159" s="16"/>
      <c r="F159" s="16"/>
      <c r="G159" s="16"/>
      <c r="H159" s="16"/>
      <c r="I159" s="17" t="str">
        <f aca="false">IF(B159="","",SUM(J159:N159))</f>
        <v/>
      </c>
      <c r="J159" s="18"/>
      <c r="K159" s="18"/>
      <c r="L159" s="17" t="str">
        <f aca="false">IF(K159="","",ROUND(K159*$P$4,2))</f>
        <v/>
      </c>
      <c r="M159" s="18"/>
      <c r="N159" s="17" t="str">
        <f aca="false">IF(M159="","",ROUND(M159*$P$5,2))</f>
        <v/>
      </c>
      <c r="O159" s="18"/>
      <c r="P159" s="16"/>
      <c r="Q159" s="18"/>
    </row>
    <row r="160" customFormat="false" ht="15" hidden="false" customHeight="false" outlineLevel="0" collapsed="false">
      <c r="A160" s="14" t="str">
        <f aca="false">IF(B160="","",ROW()-11)</f>
        <v/>
      </c>
      <c r="B160" s="15"/>
      <c r="C160" s="16"/>
      <c r="D160" s="16"/>
      <c r="E160" s="16"/>
      <c r="F160" s="16"/>
      <c r="G160" s="16"/>
      <c r="H160" s="16"/>
      <c r="I160" s="17" t="str">
        <f aca="false">IF(B160="","",SUM(J160:N160))</f>
        <v/>
      </c>
      <c r="J160" s="18"/>
      <c r="K160" s="18"/>
      <c r="L160" s="17" t="str">
        <f aca="false">IF(K160="","",ROUND(K160*$P$4,2))</f>
        <v/>
      </c>
      <c r="M160" s="18"/>
      <c r="N160" s="17" t="str">
        <f aca="false">IF(M160="","",ROUND(M160*$P$5,2))</f>
        <v/>
      </c>
      <c r="O160" s="18"/>
      <c r="P160" s="16"/>
      <c r="Q160" s="18"/>
    </row>
    <row r="161" customFormat="false" ht="15" hidden="false" customHeight="false" outlineLevel="0" collapsed="false">
      <c r="A161" s="14" t="str">
        <f aca="false">IF(B161="","",ROW()-11)</f>
        <v/>
      </c>
      <c r="B161" s="15"/>
      <c r="C161" s="16"/>
      <c r="D161" s="16"/>
      <c r="E161" s="16"/>
      <c r="F161" s="16"/>
      <c r="G161" s="16"/>
      <c r="H161" s="16"/>
      <c r="I161" s="17" t="str">
        <f aca="false">IF(B161="","",SUM(J161:N161))</f>
        <v/>
      </c>
      <c r="J161" s="18"/>
      <c r="K161" s="18"/>
      <c r="L161" s="17" t="str">
        <f aca="false">IF(K161="","",ROUND(K161*$P$4,2))</f>
        <v/>
      </c>
      <c r="M161" s="18"/>
      <c r="N161" s="17" t="str">
        <f aca="false">IF(M161="","",ROUND(M161*$P$5,2))</f>
        <v/>
      </c>
      <c r="O161" s="18"/>
      <c r="P161" s="16"/>
      <c r="Q161" s="18"/>
    </row>
    <row r="162" customFormat="false" ht="15" hidden="false" customHeight="false" outlineLevel="0" collapsed="false">
      <c r="A162" s="14" t="str">
        <f aca="false">IF(B162="","",ROW()-11)</f>
        <v/>
      </c>
      <c r="B162" s="15"/>
      <c r="C162" s="16"/>
      <c r="D162" s="16"/>
      <c r="E162" s="16"/>
      <c r="F162" s="16"/>
      <c r="G162" s="16"/>
      <c r="H162" s="16"/>
      <c r="I162" s="17" t="str">
        <f aca="false">IF(B162="","",SUM(J162:N162))</f>
        <v/>
      </c>
      <c r="J162" s="18"/>
      <c r="K162" s="18"/>
      <c r="L162" s="17" t="str">
        <f aca="false">IF(K162="","",ROUND(K162*$P$4,2))</f>
        <v/>
      </c>
      <c r="M162" s="18"/>
      <c r="N162" s="17" t="str">
        <f aca="false">IF(M162="","",ROUND(M162*$P$5,2))</f>
        <v/>
      </c>
      <c r="O162" s="18"/>
      <c r="P162" s="16"/>
      <c r="Q162" s="18"/>
    </row>
    <row r="163" customFormat="false" ht="15" hidden="false" customHeight="false" outlineLevel="0" collapsed="false">
      <c r="A163" s="14" t="str">
        <f aca="false">IF(B163="","",ROW()-11)</f>
        <v/>
      </c>
      <c r="B163" s="15"/>
      <c r="C163" s="16"/>
      <c r="D163" s="16"/>
      <c r="E163" s="16"/>
      <c r="F163" s="16"/>
      <c r="G163" s="16"/>
      <c r="H163" s="16"/>
      <c r="I163" s="17" t="str">
        <f aca="false">IF(B163="","",SUM(J163:N163))</f>
        <v/>
      </c>
      <c r="J163" s="18"/>
      <c r="K163" s="18"/>
      <c r="L163" s="17" t="str">
        <f aca="false">IF(K163="","",ROUND(K163*$P$4,2))</f>
        <v/>
      </c>
      <c r="M163" s="18"/>
      <c r="N163" s="17" t="str">
        <f aca="false">IF(M163="","",ROUND(M163*$P$5,2))</f>
        <v/>
      </c>
      <c r="O163" s="18"/>
      <c r="P163" s="16"/>
      <c r="Q163" s="18"/>
    </row>
    <row r="164" customFormat="false" ht="15" hidden="false" customHeight="false" outlineLevel="0" collapsed="false">
      <c r="A164" s="14" t="str">
        <f aca="false">IF(B164="","",ROW()-11)</f>
        <v/>
      </c>
      <c r="B164" s="15"/>
      <c r="C164" s="16"/>
      <c r="D164" s="16"/>
      <c r="E164" s="16"/>
      <c r="F164" s="16"/>
      <c r="G164" s="16"/>
      <c r="H164" s="16"/>
      <c r="I164" s="17" t="str">
        <f aca="false">IF(B164="","",SUM(J164:N164))</f>
        <v/>
      </c>
      <c r="J164" s="18"/>
      <c r="K164" s="18"/>
      <c r="L164" s="17" t="str">
        <f aca="false">IF(K164="","",ROUND(K164*$P$4,2))</f>
        <v/>
      </c>
      <c r="M164" s="18"/>
      <c r="N164" s="17" t="str">
        <f aca="false">IF(M164="","",ROUND(M164*$P$5,2))</f>
        <v/>
      </c>
      <c r="O164" s="18"/>
      <c r="P164" s="16"/>
      <c r="Q164" s="18"/>
    </row>
    <row r="165" customFormat="false" ht="15" hidden="false" customHeight="false" outlineLevel="0" collapsed="false">
      <c r="A165" s="14" t="str">
        <f aca="false">IF(B165="","",ROW()-11)</f>
        <v/>
      </c>
      <c r="B165" s="15"/>
      <c r="C165" s="16"/>
      <c r="D165" s="16"/>
      <c r="E165" s="16"/>
      <c r="F165" s="16"/>
      <c r="G165" s="16"/>
      <c r="H165" s="16"/>
      <c r="I165" s="17" t="str">
        <f aca="false">IF(B165="","",SUM(J165:N165))</f>
        <v/>
      </c>
      <c r="J165" s="18"/>
      <c r="K165" s="18"/>
      <c r="L165" s="17" t="str">
        <f aca="false">IF(K165="","",ROUND(K165*$P$4,2))</f>
        <v/>
      </c>
      <c r="M165" s="18"/>
      <c r="N165" s="17" t="str">
        <f aca="false">IF(M165="","",ROUND(M165*$P$5,2))</f>
        <v/>
      </c>
      <c r="O165" s="18"/>
      <c r="P165" s="16"/>
      <c r="Q165" s="18"/>
    </row>
    <row r="166" customFormat="false" ht="15" hidden="false" customHeight="false" outlineLevel="0" collapsed="false">
      <c r="A166" s="14" t="str">
        <f aca="false">IF(B166="","",ROW()-11)</f>
        <v/>
      </c>
      <c r="B166" s="15"/>
      <c r="C166" s="16"/>
      <c r="D166" s="16"/>
      <c r="E166" s="16"/>
      <c r="F166" s="16"/>
      <c r="G166" s="16"/>
      <c r="H166" s="16"/>
      <c r="I166" s="17" t="str">
        <f aca="false">IF(B166="","",SUM(J166:N166))</f>
        <v/>
      </c>
      <c r="J166" s="18"/>
      <c r="K166" s="18"/>
      <c r="L166" s="17" t="str">
        <f aca="false">IF(K166="","",ROUND(K166*$P$4,2))</f>
        <v/>
      </c>
      <c r="M166" s="18"/>
      <c r="N166" s="17" t="str">
        <f aca="false">IF(M166="","",ROUND(M166*$P$5,2))</f>
        <v/>
      </c>
      <c r="O166" s="18"/>
      <c r="P166" s="16"/>
      <c r="Q166" s="18"/>
    </row>
    <row r="167" customFormat="false" ht="15" hidden="false" customHeight="false" outlineLevel="0" collapsed="false">
      <c r="A167" s="14" t="str">
        <f aca="false">IF(B167="","",ROW()-11)</f>
        <v/>
      </c>
      <c r="B167" s="15"/>
      <c r="C167" s="16"/>
      <c r="D167" s="16"/>
      <c r="E167" s="16"/>
      <c r="F167" s="16"/>
      <c r="G167" s="16"/>
      <c r="H167" s="16"/>
      <c r="I167" s="17" t="str">
        <f aca="false">IF(B167="","",SUM(J167:N167))</f>
        <v/>
      </c>
      <c r="J167" s="18"/>
      <c r="K167" s="18"/>
      <c r="L167" s="17" t="str">
        <f aca="false">IF(K167="","",ROUND(K167*$P$4,2))</f>
        <v/>
      </c>
      <c r="M167" s="18"/>
      <c r="N167" s="17" t="str">
        <f aca="false">IF(M167="","",ROUND(M167*$P$5,2))</f>
        <v/>
      </c>
      <c r="O167" s="18"/>
      <c r="P167" s="16"/>
      <c r="Q167" s="18"/>
    </row>
    <row r="168" customFormat="false" ht="15" hidden="false" customHeight="false" outlineLevel="0" collapsed="false">
      <c r="A168" s="14" t="str">
        <f aca="false">IF(B168="","",ROW()-11)</f>
        <v/>
      </c>
      <c r="B168" s="15"/>
      <c r="C168" s="16"/>
      <c r="D168" s="16"/>
      <c r="E168" s="16"/>
      <c r="F168" s="16"/>
      <c r="G168" s="16"/>
      <c r="H168" s="16"/>
      <c r="I168" s="17" t="str">
        <f aca="false">IF(B168="","",SUM(J168:N168))</f>
        <v/>
      </c>
      <c r="J168" s="18"/>
      <c r="K168" s="18"/>
      <c r="L168" s="17" t="str">
        <f aca="false">IF(K168="","",ROUND(K168*$P$4,2))</f>
        <v/>
      </c>
      <c r="M168" s="18"/>
      <c r="N168" s="17" t="str">
        <f aca="false">IF(M168="","",ROUND(M168*$P$5,2))</f>
        <v/>
      </c>
      <c r="O168" s="18"/>
      <c r="P168" s="16"/>
      <c r="Q168" s="18"/>
    </row>
    <row r="169" customFormat="false" ht="15" hidden="false" customHeight="false" outlineLevel="0" collapsed="false">
      <c r="A169" s="14" t="str">
        <f aca="false">IF(B169="","",ROW()-11)</f>
        <v/>
      </c>
      <c r="B169" s="15"/>
      <c r="C169" s="16"/>
      <c r="D169" s="16"/>
      <c r="E169" s="16"/>
      <c r="F169" s="16"/>
      <c r="G169" s="16"/>
      <c r="H169" s="16"/>
      <c r="I169" s="17" t="str">
        <f aca="false">IF(B169="","",SUM(J169:N169))</f>
        <v/>
      </c>
      <c r="J169" s="18"/>
      <c r="K169" s="18"/>
      <c r="L169" s="17" t="str">
        <f aca="false">IF(K169="","",ROUND(K169*$P$4,2))</f>
        <v/>
      </c>
      <c r="M169" s="18"/>
      <c r="N169" s="17" t="str">
        <f aca="false">IF(M169="","",ROUND(M169*$P$5,2))</f>
        <v/>
      </c>
      <c r="O169" s="18"/>
      <c r="P169" s="16"/>
      <c r="Q169" s="18"/>
    </row>
    <row r="170" customFormat="false" ht="15" hidden="false" customHeight="false" outlineLevel="0" collapsed="false">
      <c r="A170" s="14" t="str">
        <f aca="false">IF(B170="","",ROW()-11)</f>
        <v/>
      </c>
      <c r="B170" s="15"/>
      <c r="C170" s="16"/>
      <c r="D170" s="16"/>
      <c r="E170" s="16"/>
      <c r="F170" s="16"/>
      <c r="G170" s="16"/>
      <c r="H170" s="16"/>
      <c r="I170" s="17" t="str">
        <f aca="false">IF(B170="","",SUM(J170:N170))</f>
        <v/>
      </c>
      <c r="J170" s="18"/>
      <c r="K170" s="18"/>
      <c r="L170" s="17" t="str">
        <f aca="false">IF(K170="","",ROUND(K170*$P$4,2))</f>
        <v/>
      </c>
      <c r="M170" s="18"/>
      <c r="N170" s="17" t="str">
        <f aca="false">IF(M170="","",ROUND(M170*$P$5,2))</f>
        <v/>
      </c>
      <c r="O170" s="18"/>
      <c r="P170" s="16"/>
      <c r="Q170" s="18"/>
    </row>
    <row r="171" customFormat="false" ht="15" hidden="false" customHeight="false" outlineLevel="0" collapsed="false">
      <c r="A171" s="14" t="str">
        <f aca="false">IF(B171="","",ROW()-11)</f>
        <v/>
      </c>
      <c r="B171" s="15"/>
      <c r="C171" s="16"/>
      <c r="D171" s="16"/>
      <c r="E171" s="16"/>
      <c r="F171" s="16"/>
      <c r="G171" s="16"/>
      <c r="H171" s="16"/>
      <c r="I171" s="17" t="str">
        <f aca="false">IF(B171="","",SUM(J171:N171))</f>
        <v/>
      </c>
      <c r="J171" s="18"/>
      <c r="K171" s="18"/>
      <c r="L171" s="17" t="str">
        <f aca="false">IF(K171="","",ROUND(K171*$P$4,2))</f>
        <v/>
      </c>
      <c r="M171" s="18"/>
      <c r="N171" s="17" t="str">
        <f aca="false">IF(M171="","",ROUND(M171*$P$5,2))</f>
        <v/>
      </c>
      <c r="O171" s="18"/>
      <c r="P171" s="16"/>
      <c r="Q171" s="18"/>
    </row>
    <row r="172" customFormat="false" ht="15" hidden="false" customHeight="false" outlineLevel="0" collapsed="false">
      <c r="A172" s="14" t="str">
        <f aca="false">IF(B172="","",ROW()-11)</f>
        <v/>
      </c>
      <c r="B172" s="15"/>
      <c r="C172" s="16"/>
      <c r="D172" s="16"/>
      <c r="E172" s="16"/>
      <c r="F172" s="16"/>
      <c r="G172" s="16"/>
      <c r="H172" s="16"/>
      <c r="I172" s="17" t="str">
        <f aca="false">IF(B172="","",SUM(J172:N172))</f>
        <v/>
      </c>
      <c r="J172" s="18"/>
      <c r="K172" s="18"/>
      <c r="L172" s="17" t="str">
        <f aca="false">IF(K172="","",ROUND(K172*$P$4,2))</f>
        <v/>
      </c>
      <c r="M172" s="18"/>
      <c r="N172" s="17" t="str">
        <f aca="false">IF(M172="","",ROUND(M172*$P$5,2))</f>
        <v/>
      </c>
      <c r="O172" s="18"/>
      <c r="P172" s="16"/>
      <c r="Q172" s="18"/>
    </row>
    <row r="173" customFormat="false" ht="15" hidden="false" customHeight="false" outlineLevel="0" collapsed="false">
      <c r="A173" s="14" t="str">
        <f aca="false">IF(B173="","",ROW()-11)</f>
        <v/>
      </c>
      <c r="B173" s="15"/>
      <c r="C173" s="16"/>
      <c r="D173" s="16"/>
      <c r="E173" s="16"/>
      <c r="F173" s="16"/>
      <c r="G173" s="16"/>
      <c r="H173" s="16"/>
      <c r="I173" s="17" t="str">
        <f aca="false">IF(B173="","",SUM(J173:N173))</f>
        <v/>
      </c>
      <c r="J173" s="18"/>
      <c r="K173" s="18"/>
      <c r="L173" s="17" t="str">
        <f aca="false">IF(K173="","",ROUND(K173*$P$4,2))</f>
        <v/>
      </c>
      <c r="M173" s="18"/>
      <c r="N173" s="17" t="str">
        <f aca="false">IF(M173="","",ROUND(M173*$P$5,2))</f>
        <v/>
      </c>
      <c r="O173" s="18"/>
      <c r="P173" s="16"/>
      <c r="Q173" s="18"/>
    </row>
    <row r="174" customFormat="false" ht="15" hidden="false" customHeight="false" outlineLevel="0" collapsed="false">
      <c r="A174" s="14" t="str">
        <f aca="false">IF(B174="","",ROW()-11)</f>
        <v/>
      </c>
      <c r="B174" s="15"/>
      <c r="C174" s="16"/>
      <c r="D174" s="16"/>
      <c r="E174" s="16"/>
      <c r="F174" s="16"/>
      <c r="G174" s="16"/>
      <c r="H174" s="16"/>
      <c r="I174" s="17" t="str">
        <f aca="false">IF(B174="","",SUM(J174:N174))</f>
        <v/>
      </c>
      <c r="J174" s="18"/>
      <c r="K174" s="18"/>
      <c r="L174" s="17" t="str">
        <f aca="false">IF(K174="","",ROUND(K174*$P$4,2))</f>
        <v/>
      </c>
      <c r="M174" s="18"/>
      <c r="N174" s="17" t="str">
        <f aca="false">IF(M174="","",ROUND(M174*$P$5,2))</f>
        <v/>
      </c>
      <c r="O174" s="18"/>
      <c r="P174" s="16"/>
      <c r="Q174" s="18"/>
    </row>
    <row r="175" customFormat="false" ht="15" hidden="false" customHeight="false" outlineLevel="0" collapsed="false">
      <c r="A175" s="14" t="str">
        <f aca="false">IF(B175="","",ROW()-11)</f>
        <v/>
      </c>
      <c r="B175" s="15"/>
      <c r="C175" s="16"/>
      <c r="D175" s="16"/>
      <c r="E175" s="16"/>
      <c r="F175" s="16"/>
      <c r="G175" s="16"/>
      <c r="H175" s="16"/>
      <c r="I175" s="17" t="str">
        <f aca="false">IF(B175="","",SUM(J175:N175))</f>
        <v/>
      </c>
      <c r="J175" s="18"/>
      <c r="K175" s="18"/>
      <c r="L175" s="17" t="str">
        <f aca="false">IF(K175="","",ROUND(K175*$P$4,2))</f>
        <v/>
      </c>
      <c r="M175" s="18"/>
      <c r="N175" s="17" t="str">
        <f aca="false">IF(M175="","",ROUND(M175*$P$5,2))</f>
        <v/>
      </c>
      <c r="O175" s="18"/>
      <c r="P175" s="16"/>
      <c r="Q175" s="18"/>
    </row>
    <row r="176" customFormat="false" ht="15" hidden="false" customHeight="false" outlineLevel="0" collapsed="false">
      <c r="A176" s="14" t="str">
        <f aca="false">IF(B176="","",ROW()-11)</f>
        <v/>
      </c>
      <c r="B176" s="15"/>
      <c r="C176" s="16"/>
      <c r="D176" s="16"/>
      <c r="E176" s="16"/>
      <c r="F176" s="16"/>
      <c r="G176" s="16"/>
      <c r="H176" s="16"/>
      <c r="I176" s="17" t="str">
        <f aca="false">IF(B176="","",SUM(J176:N176))</f>
        <v/>
      </c>
      <c r="J176" s="18"/>
      <c r="K176" s="18"/>
      <c r="L176" s="17" t="str">
        <f aca="false">IF(K176="","",ROUND(K176*$P$4,2))</f>
        <v/>
      </c>
      <c r="M176" s="18"/>
      <c r="N176" s="17" t="str">
        <f aca="false">IF(M176="","",ROUND(M176*$P$5,2))</f>
        <v/>
      </c>
      <c r="O176" s="18"/>
      <c r="P176" s="16"/>
      <c r="Q176" s="18"/>
    </row>
    <row r="177" customFormat="false" ht="15" hidden="false" customHeight="false" outlineLevel="0" collapsed="false">
      <c r="A177" s="14" t="str">
        <f aca="false">IF(B177="","",ROW()-11)</f>
        <v/>
      </c>
      <c r="B177" s="15"/>
      <c r="C177" s="16"/>
      <c r="D177" s="16"/>
      <c r="E177" s="16"/>
      <c r="F177" s="16"/>
      <c r="G177" s="16"/>
      <c r="H177" s="16"/>
      <c r="I177" s="17" t="str">
        <f aca="false">IF(B177="","",SUM(J177:N177))</f>
        <v/>
      </c>
      <c r="J177" s="18"/>
      <c r="K177" s="18"/>
      <c r="L177" s="17" t="str">
        <f aca="false">IF(K177="","",ROUND(K177*$P$4,2))</f>
        <v/>
      </c>
      <c r="M177" s="18"/>
      <c r="N177" s="17" t="str">
        <f aca="false">IF(M177="","",ROUND(M177*$P$5,2))</f>
        <v/>
      </c>
      <c r="O177" s="18"/>
      <c r="P177" s="16"/>
      <c r="Q177" s="18"/>
    </row>
    <row r="178" customFormat="false" ht="15" hidden="false" customHeight="false" outlineLevel="0" collapsed="false">
      <c r="A178" s="14" t="str">
        <f aca="false">IF(B178="","",ROW()-11)</f>
        <v/>
      </c>
      <c r="B178" s="15"/>
      <c r="C178" s="16"/>
      <c r="D178" s="16"/>
      <c r="E178" s="16"/>
      <c r="F178" s="16"/>
      <c r="G178" s="16"/>
      <c r="H178" s="16"/>
      <c r="I178" s="17" t="str">
        <f aca="false">IF(B178="","",SUM(J178:N178))</f>
        <v/>
      </c>
      <c r="J178" s="18"/>
      <c r="K178" s="18"/>
      <c r="L178" s="17" t="str">
        <f aca="false">IF(K178="","",ROUND(K178*$P$4,2))</f>
        <v/>
      </c>
      <c r="M178" s="18"/>
      <c r="N178" s="17" t="str">
        <f aca="false">IF(M178="","",ROUND(M178*$P$5,2))</f>
        <v/>
      </c>
      <c r="O178" s="18"/>
      <c r="P178" s="16"/>
      <c r="Q178" s="18"/>
    </row>
    <row r="179" customFormat="false" ht="15" hidden="false" customHeight="false" outlineLevel="0" collapsed="false">
      <c r="A179" s="14" t="str">
        <f aca="false">IF(B179="","",ROW()-11)</f>
        <v/>
      </c>
      <c r="B179" s="15"/>
      <c r="C179" s="16"/>
      <c r="D179" s="16"/>
      <c r="E179" s="16"/>
      <c r="F179" s="16"/>
      <c r="G179" s="16"/>
      <c r="H179" s="16"/>
      <c r="I179" s="17" t="str">
        <f aca="false">IF(B179="","",SUM(J179:N179))</f>
        <v/>
      </c>
      <c r="J179" s="18"/>
      <c r="K179" s="18"/>
      <c r="L179" s="17" t="str">
        <f aca="false">IF(K179="","",ROUND(K179*$P$4,2))</f>
        <v/>
      </c>
      <c r="M179" s="18"/>
      <c r="N179" s="17" t="str">
        <f aca="false">IF(M179="","",ROUND(M179*$P$5,2))</f>
        <v/>
      </c>
      <c r="O179" s="18"/>
      <c r="P179" s="16"/>
      <c r="Q179" s="18"/>
    </row>
    <row r="180" customFormat="false" ht="15" hidden="false" customHeight="false" outlineLevel="0" collapsed="false">
      <c r="A180" s="14" t="str">
        <f aca="false">IF(B180="","",ROW()-11)</f>
        <v/>
      </c>
      <c r="B180" s="15"/>
      <c r="C180" s="16"/>
      <c r="D180" s="16"/>
      <c r="E180" s="16"/>
      <c r="F180" s="16"/>
      <c r="G180" s="16"/>
      <c r="H180" s="16"/>
      <c r="I180" s="17" t="str">
        <f aca="false">IF(B180="","",SUM(J180:N180))</f>
        <v/>
      </c>
      <c r="J180" s="18"/>
      <c r="K180" s="18"/>
      <c r="L180" s="17" t="str">
        <f aca="false">IF(K180="","",ROUND(K180*$P$4,2))</f>
        <v/>
      </c>
      <c r="M180" s="18"/>
      <c r="N180" s="17" t="str">
        <f aca="false">IF(M180="","",ROUND(M180*$P$5,2))</f>
        <v/>
      </c>
      <c r="O180" s="18"/>
      <c r="P180" s="16"/>
      <c r="Q180" s="18"/>
    </row>
    <row r="181" customFormat="false" ht="15" hidden="false" customHeight="false" outlineLevel="0" collapsed="false">
      <c r="A181" s="14" t="str">
        <f aca="false">IF(B181="","",ROW()-11)</f>
        <v/>
      </c>
      <c r="B181" s="15"/>
      <c r="C181" s="16"/>
      <c r="D181" s="16"/>
      <c r="E181" s="16"/>
      <c r="F181" s="16"/>
      <c r="G181" s="16"/>
      <c r="H181" s="16"/>
      <c r="I181" s="17" t="str">
        <f aca="false">IF(B181="","",SUM(J181:N181))</f>
        <v/>
      </c>
      <c r="J181" s="18"/>
      <c r="K181" s="18"/>
      <c r="L181" s="17" t="str">
        <f aca="false">IF(K181="","",ROUND(K181*$P$4,2))</f>
        <v/>
      </c>
      <c r="M181" s="18"/>
      <c r="N181" s="17" t="str">
        <f aca="false">IF(M181="","",ROUND(M181*$P$5,2))</f>
        <v/>
      </c>
      <c r="O181" s="18"/>
      <c r="P181" s="16"/>
      <c r="Q181" s="18"/>
    </row>
    <row r="182" customFormat="false" ht="15" hidden="false" customHeight="false" outlineLevel="0" collapsed="false">
      <c r="A182" s="14" t="str">
        <f aca="false">IF(B182="","",ROW()-11)</f>
        <v/>
      </c>
      <c r="B182" s="15"/>
      <c r="C182" s="16"/>
      <c r="D182" s="16"/>
      <c r="E182" s="16"/>
      <c r="F182" s="16"/>
      <c r="G182" s="16"/>
      <c r="H182" s="16"/>
      <c r="I182" s="17" t="str">
        <f aca="false">IF(B182="","",SUM(J182:N182))</f>
        <v/>
      </c>
      <c r="J182" s="18"/>
      <c r="K182" s="18"/>
      <c r="L182" s="17" t="str">
        <f aca="false">IF(K182="","",ROUND(K182*$P$4,2))</f>
        <v/>
      </c>
      <c r="M182" s="18"/>
      <c r="N182" s="17" t="str">
        <f aca="false">IF(M182="","",ROUND(M182*$P$5,2))</f>
        <v/>
      </c>
      <c r="O182" s="18"/>
      <c r="P182" s="16"/>
      <c r="Q182" s="18"/>
    </row>
    <row r="183" customFormat="false" ht="15" hidden="false" customHeight="false" outlineLevel="0" collapsed="false">
      <c r="A183" s="14" t="str">
        <f aca="false">IF(B183="","",ROW()-11)</f>
        <v/>
      </c>
      <c r="B183" s="15"/>
      <c r="C183" s="16"/>
      <c r="D183" s="16"/>
      <c r="E183" s="16"/>
      <c r="F183" s="16"/>
      <c r="G183" s="16"/>
      <c r="H183" s="16"/>
      <c r="I183" s="17" t="str">
        <f aca="false">IF(B183="","",SUM(J183:N183))</f>
        <v/>
      </c>
      <c r="J183" s="18"/>
      <c r="K183" s="18"/>
      <c r="L183" s="17" t="str">
        <f aca="false">IF(K183="","",ROUND(K183*$P$4,2))</f>
        <v/>
      </c>
      <c r="M183" s="18"/>
      <c r="N183" s="17" t="str">
        <f aca="false">IF(M183="","",ROUND(M183*$P$5,2))</f>
        <v/>
      </c>
      <c r="O183" s="18"/>
      <c r="P183" s="16"/>
      <c r="Q183" s="18"/>
    </row>
    <row r="184" customFormat="false" ht="15" hidden="false" customHeight="false" outlineLevel="0" collapsed="false">
      <c r="A184" s="14" t="str">
        <f aca="false">IF(B184="","",ROW()-11)</f>
        <v/>
      </c>
      <c r="B184" s="15"/>
      <c r="C184" s="16"/>
      <c r="D184" s="16"/>
      <c r="E184" s="16"/>
      <c r="F184" s="16"/>
      <c r="G184" s="16"/>
      <c r="H184" s="16"/>
      <c r="I184" s="17" t="str">
        <f aca="false">IF(B184="","",SUM(J184:N184))</f>
        <v/>
      </c>
      <c r="J184" s="18"/>
      <c r="K184" s="18"/>
      <c r="L184" s="17" t="str">
        <f aca="false">IF(K184="","",ROUND(K184*$P$4,2))</f>
        <v/>
      </c>
      <c r="M184" s="18"/>
      <c r="N184" s="17" t="str">
        <f aca="false">IF(M184="","",ROUND(M184*$P$5,2))</f>
        <v/>
      </c>
      <c r="O184" s="18"/>
      <c r="P184" s="16"/>
      <c r="Q184" s="18"/>
    </row>
    <row r="185" customFormat="false" ht="15" hidden="false" customHeight="false" outlineLevel="0" collapsed="false">
      <c r="A185" s="14" t="str">
        <f aca="false">IF(B185="","",ROW()-11)</f>
        <v/>
      </c>
      <c r="B185" s="15"/>
      <c r="C185" s="16"/>
      <c r="D185" s="16"/>
      <c r="E185" s="16"/>
      <c r="F185" s="16"/>
      <c r="G185" s="16"/>
      <c r="H185" s="16"/>
      <c r="I185" s="17" t="str">
        <f aca="false">IF(B185="","",SUM(J185:N185))</f>
        <v/>
      </c>
      <c r="J185" s="18"/>
      <c r="K185" s="18"/>
      <c r="L185" s="17" t="str">
        <f aca="false">IF(K185="","",ROUND(K185*$P$4,2))</f>
        <v/>
      </c>
      <c r="M185" s="18"/>
      <c r="N185" s="17" t="str">
        <f aca="false">IF(M185="","",ROUND(M185*$P$5,2))</f>
        <v/>
      </c>
      <c r="O185" s="18"/>
      <c r="P185" s="16"/>
      <c r="Q185" s="18"/>
    </row>
    <row r="186" customFormat="false" ht="15" hidden="false" customHeight="false" outlineLevel="0" collapsed="false">
      <c r="A186" s="14" t="str">
        <f aca="false">IF(B186="","",ROW()-11)</f>
        <v/>
      </c>
      <c r="B186" s="15"/>
      <c r="C186" s="16"/>
      <c r="D186" s="16"/>
      <c r="E186" s="16"/>
      <c r="F186" s="16"/>
      <c r="G186" s="16"/>
      <c r="H186" s="16"/>
      <c r="I186" s="17" t="str">
        <f aca="false">IF(B186="","",SUM(J186:N186))</f>
        <v/>
      </c>
      <c r="J186" s="18"/>
      <c r="K186" s="18"/>
      <c r="L186" s="17" t="str">
        <f aca="false">IF(K186="","",ROUND(K186*$P$4,2))</f>
        <v/>
      </c>
      <c r="M186" s="18"/>
      <c r="N186" s="17" t="str">
        <f aca="false">IF(M186="","",ROUND(M186*$P$5,2))</f>
        <v/>
      </c>
      <c r="O186" s="18"/>
      <c r="P186" s="16"/>
      <c r="Q186" s="18"/>
    </row>
    <row r="187" customFormat="false" ht="15" hidden="false" customHeight="false" outlineLevel="0" collapsed="false">
      <c r="A187" s="14" t="str">
        <f aca="false">IF(B187="","",ROW()-11)</f>
        <v/>
      </c>
      <c r="B187" s="15"/>
      <c r="C187" s="16"/>
      <c r="D187" s="16"/>
      <c r="E187" s="16"/>
      <c r="F187" s="16"/>
      <c r="G187" s="16"/>
      <c r="H187" s="16"/>
      <c r="I187" s="17" t="str">
        <f aca="false">IF(B187="","",SUM(J187:N187))</f>
        <v/>
      </c>
      <c r="J187" s="18"/>
      <c r="K187" s="18"/>
      <c r="L187" s="17" t="str">
        <f aca="false">IF(K187="","",ROUND(K187*$P$4,2))</f>
        <v/>
      </c>
      <c r="M187" s="18"/>
      <c r="N187" s="17" t="str">
        <f aca="false">IF(M187="","",ROUND(M187*$P$5,2))</f>
        <v/>
      </c>
      <c r="O187" s="18"/>
      <c r="P187" s="16"/>
      <c r="Q187" s="18"/>
    </row>
    <row r="188" customFormat="false" ht="15" hidden="false" customHeight="false" outlineLevel="0" collapsed="false">
      <c r="A188" s="14" t="str">
        <f aca="false">IF(B188="","",ROW()-11)</f>
        <v/>
      </c>
      <c r="B188" s="15"/>
      <c r="C188" s="16"/>
      <c r="D188" s="16"/>
      <c r="E188" s="16"/>
      <c r="F188" s="16"/>
      <c r="G188" s="16"/>
      <c r="H188" s="16"/>
      <c r="I188" s="17" t="str">
        <f aca="false">IF(B188="","",SUM(J188:N188))</f>
        <v/>
      </c>
      <c r="J188" s="18"/>
      <c r="K188" s="18"/>
      <c r="L188" s="17" t="str">
        <f aca="false">IF(K188="","",ROUND(K188*$P$4,2))</f>
        <v/>
      </c>
      <c r="M188" s="18"/>
      <c r="N188" s="17" t="str">
        <f aca="false">IF(M188="","",ROUND(M188*$P$5,2))</f>
        <v/>
      </c>
      <c r="O188" s="18"/>
      <c r="P188" s="16"/>
      <c r="Q188" s="18"/>
    </row>
    <row r="189" customFormat="false" ht="15" hidden="false" customHeight="false" outlineLevel="0" collapsed="false">
      <c r="A189" s="14" t="str">
        <f aca="false">IF(B189="","",ROW()-11)</f>
        <v/>
      </c>
      <c r="B189" s="15"/>
      <c r="C189" s="16"/>
      <c r="D189" s="16"/>
      <c r="E189" s="16"/>
      <c r="F189" s="16"/>
      <c r="G189" s="16"/>
      <c r="H189" s="16"/>
      <c r="I189" s="17" t="str">
        <f aca="false">IF(B189="","",SUM(J189:N189))</f>
        <v/>
      </c>
      <c r="J189" s="18"/>
      <c r="K189" s="18"/>
      <c r="L189" s="17" t="str">
        <f aca="false">IF(K189="","",ROUND(K189*$P$4,2))</f>
        <v/>
      </c>
      <c r="M189" s="18"/>
      <c r="N189" s="17" t="str">
        <f aca="false">IF(M189="","",ROUND(M189*$P$5,2))</f>
        <v/>
      </c>
      <c r="O189" s="18"/>
      <c r="P189" s="16"/>
      <c r="Q189" s="18"/>
    </row>
    <row r="190" customFormat="false" ht="15" hidden="false" customHeight="false" outlineLevel="0" collapsed="false">
      <c r="A190" s="14" t="str">
        <f aca="false">IF(B190="","",ROW()-11)</f>
        <v/>
      </c>
      <c r="B190" s="15"/>
      <c r="C190" s="16"/>
      <c r="D190" s="16"/>
      <c r="E190" s="16"/>
      <c r="F190" s="16"/>
      <c r="G190" s="16"/>
      <c r="H190" s="16"/>
      <c r="I190" s="17" t="str">
        <f aca="false">IF(B190="","",SUM(J190:N190))</f>
        <v/>
      </c>
      <c r="J190" s="18"/>
      <c r="K190" s="18"/>
      <c r="L190" s="17" t="str">
        <f aca="false">IF(K190="","",ROUND(K190*$P$4,2))</f>
        <v/>
      </c>
      <c r="M190" s="18"/>
      <c r="N190" s="17" t="str">
        <f aca="false">IF(M190="","",ROUND(M190*$P$5,2))</f>
        <v/>
      </c>
      <c r="O190" s="18"/>
      <c r="P190" s="16"/>
      <c r="Q190" s="18"/>
    </row>
    <row r="191" customFormat="false" ht="15" hidden="false" customHeight="false" outlineLevel="0" collapsed="false">
      <c r="A191" s="14" t="str">
        <f aca="false">IF(B191="","",ROW()-11)</f>
        <v/>
      </c>
      <c r="B191" s="15"/>
      <c r="C191" s="16"/>
      <c r="D191" s="16"/>
      <c r="E191" s="16"/>
      <c r="F191" s="16"/>
      <c r="G191" s="16"/>
      <c r="H191" s="16"/>
      <c r="I191" s="17" t="str">
        <f aca="false">IF(B191="","",SUM(J191:N191))</f>
        <v/>
      </c>
      <c r="J191" s="18"/>
      <c r="K191" s="18"/>
      <c r="L191" s="17" t="str">
        <f aca="false">IF(K191="","",ROUND(K191*$P$4,2))</f>
        <v/>
      </c>
      <c r="M191" s="18"/>
      <c r="N191" s="17" t="str">
        <f aca="false">IF(M191="","",ROUND(M191*$P$5,2))</f>
        <v/>
      </c>
      <c r="O191" s="18"/>
      <c r="P191" s="16"/>
      <c r="Q191" s="18"/>
    </row>
    <row r="192" customFormat="false" ht="15" hidden="false" customHeight="false" outlineLevel="0" collapsed="false">
      <c r="A192" s="14" t="str">
        <f aca="false">IF(B192="","",ROW()-11)</f>
        <v/>
      </c>
      <c r="B192" s="15"/>
      <c r="C192" s="16"/>
      <c r="D192" s="16"/>
      <c r="E192" s="16"/>
      <c r="F192" s="16"/>
      <c r="G192" s="16"/>
      <c r="H192" s="16"/>
      <c r="I192" s="17" t="str">
        <f aca="false">IF(B192="","",SUM(J192:N192))</f>
        <v/>
      </c>
      <c r="J192" s="18"/>
      <c r="K192" s="18"/>
      <c r="L192" s="17" t="str">
        <f aca="false">IF(K192="","",ROUND(K192*$P$4,2))</f>
        <v/>
      </c>
      <c r="M192" s="18"/>
      <c r="N192" s="17" t="str">
        <f aca="false">IF(M192="","",ROUND(M192*$P$5,2))</f>
        <v/>
      </c>
      <c r="O192" s="18"/>
      <c r="P192" s="16"/>
      <c r="Q192" s="18"/>
    </row>
    <row r="193" customFormat="false" ht="15" hidden="false" customHeight="false" outlineLevel="0" collapsed="false">
      <c r="A193" s="14" t="str">
        <f aca="false">IF(B193="","",ROW()-11)</f>
        <v/>
      </c>
      <c r="B193" s="15"/>
      <c r="C193" s="16"/>
      <c r="D193" s="16"/>
      <c r="E193" s="16"/>
      <c r="F193" s="16"/>
      <c r="G193" s="16"/>
      <c r="H193" s="16"/>
      <c r="I193" s="17" t="str">
        <f aca="false">IF(B193="","",SUM(J193:N193))</f>
        <v/>
      </c>
      <c r="J193" s="18"/>
      <c r="K193" s="18"/>
      <c r="L193" s="17" t="str">
        <f aca="false">IF(K193="","",ROUND(K193*$P$4,2))</f>
        <v/>
      </c>
      <c r="M193" s="18"/>
      <c r="N193" s="17" t="str">
        <f aca="false">IF(M193="","",ROUND(M193*$P$5,2))</f>
        <v/>
      </c>
      <c r="O193" s="18"/>
      <c r="P193" s="16"/>
      <c r="Q193" s="18"/>
    </row>
    <row r="194" customFormat="false" ht="15" hidden="false" customHeight="false" outlineLevel="0" collapsed="false">
      <c r="A194" s="14" t="str">
        <f aca="false">IF(B194="","",ROW()-11)</f>
        <v/>
      </c>
      <c r="B194" s="15"/>
      <c r="C194" s="16"/>
      <c r="D194" s="16"/>
      <c r="E194" s="16"/>
      <c r="F194" s="16"/>
      <c r="G194" s="16"/>
      <c r="H194" s="16"/>
      <c r="I194" s="17" t="str">
        <f aca="false">IF(B194="","",SUM(J194:N194))</f>
        <v/>
      </c>
      <c r="J194" s="18"/>
      <c r="K194" s="18"/>
      <c r="L194" s="17" t="str">
        <f aca="false">IF(K194="","",ROUND(K194*$P$4,2))</f>
        <v/>
      </c>
      <c r="M194" s="18"/>
      <c r="N194" s="17" t="str">
        <f aca="false">IF(M194="","",ROUND(M194*$P$5,2))</f>
        <v/>
      </c>
      <c r="O194" s="18"/>
      <c r="P194" s="16"/>
      <c r="Q194" s="18"/>
    </row>
    <row r="195" customFormat="false" ht="15" hidden="false" customHeight="false" outlineLevel="0" collapsed="false">
      <c r="A195" s="14" t="str">
        <f aca="false">IF(B195="","",ROW()-11)</f>
        <v/>
      </c>
      <c r="B195" s="15"/>
      <c r="C195" s="16"/>
      <c r="D195" s="16"/>
      <c r="E195" s="16"/>
      <c r="F195" s="16"/>
      <c r="G195" s="16"/>
      <c r="H195" s="16"/>
      <c r="I195" s="17" t="str">
        <f aca="false">IF(B195="","",SUM(J195:N195))</f>
        <v/>
      </c>
      <c r="J195" s="18"/>
      <c r="K195" s="18"/>
      <c r="L195" s="17" t="str">
        <f aca="false">IF(K195="","",ROUND(K195*$P$4,2))</f>
        <v/>
      </c>
      <c r="M195" s="18"/>
      <c r="N195" s="17" t="str">
        <f aca="false">IF(M195="","",ROUND(M195*$P$5,2))</f>
        <v/>
      </c>
      <c r="O195" s="18"/>
      <c r="P195" s="16"/>
      <c r="Q195" s="18"/>
    </row>
    <row r="196" customFormat="false" ht="15" hidden="false" customHeight="false" outlineLevel="0" collapsed="false">
      <c r="A196" s="14" t="str">
        <f aca="false">IF(B196="","",ROW()-11)</f>
        <v/>
      </c>
      <c r="B196" s="15"/>
      <c r="C196" s="16"/>
      <c r="D196" s="16"/>
      <c r="E196" s="16"/>
      <c r="F196" s="16"/>
      <c r="G196" s="16"/>
      <c r="H196" s="16"/>
      <c r="I196" s="17" t="str">
        <f aca="false">IF(B196="","",SUM(J196:N196))</f>
        <v/>
      </c>
      <c r="J196" s="18"/>
      <c r="K196" s="18"/>
      <c r="L196" s="17" t="str">
        <f aca="false">IF(K196="","",ROUND(K196*$P$4,2))</f>
        <v/>
      </c>
      <c r="M196" s="18"/>
      <c r="N196" s="17" t="str">
        <f aca="false">IF(M196="","",ROUND(M196*$P$5,2))</f>
        <v/>
      </c>
      <c r="O196" s="18"/>
      <c r="P196" s="16"/>
      <c r="Q196" s="18"/>
    </row>
    <row r="197" customFormat="false" ht="15" hidden="false" customHeight="false" outlineLevel="0" collapsed="false">
      <c r="A197" s="14" t="str">
        <f aca="false">IF(B197="","",ROW()-11)</f>
        <v/>
      </c>
      <c r="B197" s="15"/>
      <c r="C197" s="16"/>
      <c r="D197" s="16"/>
      <c r="E197" s="16"/>
      <c r="F197" s="16"/>
      <c r="G197" s="16"/>
      <c r="H197" s="16"/>
      <c r="I197" s="17" t="str">
        <f aca="false">IF(B197="","",SUM(J197:N197))</f>
        <v/>
      </c>
      <c r="J197" s="18"/>
      <c r="K197" s="18"/>
      <c r="L197" s="17" t="str">
        <f aca="false">IF(K197="","",ROUND(K197*$P$4,2))</f>
        <v/>
      </c>
      <c r="M197" s="18"/>
      <c r="N197" s="17" t="str">
        <f aca="false">IF(M197="","",ROUND(M197*$P$5,2))</f>
        <v/>
      </c>
      <c r="O197" s="18"/>
      <c r="P197" s="16"/>
      <c r="Q197" s="18"/>
    </row>
    <row r="198" customFormat="false" ht="15" hidden="false" customHeight="false" outlineLevel="0" collapsed="false">
      <c r="A198" s="14" t="str">
        <f aca="false">IF(B198="","",ROW()-11)</f>
        <v/>
      </c>
      <c r="B198" s="15"/>
      <c r="C198" s="16"/>
      <c r="D198" s="16"/>
      <c r="E198" s="16"/>
      <c r="F198" s="16"/>
      <c r="G198" s="16"/>
      <c r="H198" s="16"/>
      <c r="I198" s="17" t="str">
        <f aca="false">IF(B198="","",SUM(J198:N198))</f>
        <v/>
      </c>
      <c r="J198" s="18"/>
      <c r="K198" s="18"/>
      <c r="L198" s="17" t="str">
        <f aca="false">IF(K198="","",ROUND(K198*$P$4,2))</f>
        <v/>
      </c>
      <c r="M198" s="18"/>
      <c r="N198" s="17" t="str">
        <f aca="false">IF(M198="","",ROUND(M198*$P$5,2))</f>
        <v/>
      </c>
      <c r="O198" s="18"/>
      <c r="P198" s="16"/>
      <c r="Q198" s="18"/>
    </row>
    <row r="199" customFormat="false" ht="15" hidden="false" customHeight="false" outlineLevel="0" collapsed="false">
      <c r="A199" s="14" t="str">
        <f aca="false">IF(B199="","",ROW()-11)</f>
        <v/>
      </c>
      <c r="B199" s="15"/>
      <c r="C199" s="16"/>
      <c r="D199" s="16"/>
      <c r="E199" s="16"/>
      <c r="F199" s="16"/>
      <c r="G199" s="16"/>
      <c r="H199" s="16"/>
      <c r="I199" s="17" t="str">
        <f aca="false">IF(B199="","",SUM(J199:N199))</f>
        <v/>
      </c>
      <c r="J199" s="18"/>
      <c r="K199" s="18"/>
      <c r="L199" s="17" t="str">
        <f aca="false">IF(K199="","",ROUND(K199*$P$4,2))</f>
        <v/>
      </c>
      <c r="M199" s="18"/>
      <c r="N199" s="17" t="str">
        <f aca="false">IF(M199="","",ROUND(M199*$P$5,2))</f>
        <v/>
      </c>
      <c r="O199" s="18"/>
      <c r="P199" s="16"/>
      <c r="Q199" s="18"/>
    </row>
    <row r="200" customFormat="false" ht="15" hidden="false" customHeight="false" outlineLevel="0" collapsed="false">
      <c r="A200" s="14" t="str">
        <f aca="false">IF(B200="","",ROW()-11)</f>
        <v/>
      </c>
      <c r="B200" s="15"/>
      <c r="C200" s="16"/>
      <c r="D200" s="16"/>
      <c r="E200" s="16"/>
      <c r="F200" s="16"/>
      <c r="G200" s="16"/>
      <c r="H200" s="16"/>
      <c r="I200" s="17" t="str">
        <f aca="false">IF(B200="","",SUM(J200:N200))</f>
        <v/>
      </c>
      <c r="J200" s="18"/>
      <c r="K200" s="18"/>
      <c r="L200" s="17" t="str">
        <f aca="false">IF(K200="","",ROUND(K200*$P$4,2))</f>
        <v/>
      </c>
      <c r="M200" s="18"/>
      <c r="N200" s="17" t="str">
        <f aca="false">IF(M200="","",ROUND(M200*$P$5,2))</f>
        <v/>
      </c>
      <c r="O200" s="18"/>
      <c r="P200" s="16"/>
      <c r="Q200" s="18"/>
    </row>
    <row r="201" customFormat="false" ht="15" hidden="false" customHeight="false" outlineLevel="0" collapsed="false">
      <c r="A201" s="14" t="str">
        <f aca="false">IF(B201="","",ROW()-11)</f>
        <v/>
      </c>
      <c r="B201" s="15"/>
      <c r="C201" s="16"/>
      <c r="D201" s="16"/>
      <c r="E201" s="16"/>
      <c r="F201" s="16"/>
      <c r="G201" s="16"/>
      <c r="H201" s="16"/>
      <c r="I201" s="17" t="str">
        <f aca="false">IF(B201="","",SUM(J201:N201))</f>
        <v/>
      </c>
      <c r="J201" s="18"/>
      <c r="K201" s="18"/>
      <c r="L201" s="17" t="str">
        <f aca="false">IF(K201="","",ROUND(K201*$P$4,2))</f>
        <v/>
      </c>
      <c r="M201" s="18"/>
      <c r="N201" s="17" t="str">
        <f aca="false">IF(M201="","",ROUND(M201*$P$5,2))</f>
        <v/>
      </c>
      <c r="O201" s="18"/>
      <c r="P201" s="16"/>
      <c r="Q201" s="18"/>
    </row>
    <row r="202" customFormat="false" ht="15" hidden="false" customHeight="false" outlineLevel="0" collapsed="false">
      <c r="A202" s="14" t="str">
        <f aca="false">IF(B202="","",ROW()-11)</f>
        <v/>
      </c>
      <c r="B202" s="15"/>
      <c r="C202" s="16"/>
      <c r="D202" s="16"/>
      <c r="E202" s="16"/>
      <c r="F202" s="16"/>
      <c r="G202" s="16"/>
      <c r="H202" s="16"/>
      <c r="I202" s="17" t="str">
        <f aca="false">IF(B202="","",SUM(J202:N202))</f>
        <v/>
      </c>
      <c r="J202" s="18"/>
      <c r="K202" s="18"/>
      <c r="L202" s="17" t="str">
        <f aca="false">IF(K202="","",ROUND(K202*$P$4,2))</f>
        <v/>
      </c>
      <c r="M202" s="18"/>
      <c r="N202" s="17" t="str">
        <f aca="false">IF(M202="","",ROUND(M202*$P$5,2))</f>
        <v/>
      </c>
      <c r="O202" s="18"/>
      <c r="P202" s="16"/>
      <c r="Q202" s="18"/>
    </row>
    <row r="203" customFormat="false" ht="15" hidden="false" customHeight="false" outlineLevel="0" collapsed="false">
      <c r="A203" s="14" t="str">
        <f aca="false">IF(B203="","",ROW()-11)</f>
        <v/>
      </c>
      <c r="B203" s="15"/>
      <c r="C203" s="16"/>
      <c r="D203" s="16"/>
      <c r="E203" s="16"/>
      <c r="F203" s="16"/>
      <c r="G203" s="16"/>
      <c r="H203" s="16"/>
      <c r="I203" s="17" t="str">
        <f aca="false">IF(B203="","",SUM(J203:N203))</f>
        <v/>
      </c>
      <c r="J203" s="18"/>
      <c r="K203" s="18"/>
      <c r="L203" s="17" t="str">
        <f aca="false">IF(K203="","",ROUND(K203*$P$4,2))</f>
        <v/>
      </c>
      <c r="M203" s="18"/>
      <c r="N203" s="17" t="str">
        <f aca="false">IF(M203="","",ROUND(M203*$P$5,2))</f>
        <v/>
      </c>
      <c r="O203" s="18"/>
      <c r="P203" s="16"/>
      <c r="Q203" s="18"/>
    </row>
    <row r="204" customFormat="false" ht="15" hidden="false" customHeight="false" outlineLevel="0" collapsed="false">
      <c r="A204" s="14" t="str">
        <f aca="false">IF(B204="","",ROW()-11)</f>
        <v/>
      </c>
      <c r="B204" s="15"/>
      <c r="C204" s="16"/>
      <c r="D204" s="16"/>
      <c r="E204" s="16"/>
      <c r="F204" s="16"/>
      <c r="G204" s="16"/>
      <c r="H204" s="16"/>
      <c r="I204" s="17" t="str">
        <f aca="false">IF(B204="","",SUM(J204:N204))</f>
        <v/>
      </c>
      <c r="J204" s="18"/>
      <c r="K204" s="18"/>
      <c r="L204" s="17" t="str">
        <f aca="false">IF(K204="","",ROUND(K204*$P$4,2))</f>
        <v/>
      </c>
      <c r="M204" s="18"/>
      <c r="N204" s="17" t="str">
        <f aca="false">IF(M204="","",ROUND(M204*$P$5,2))</f>
        <v/>
      </c>
      <c r="O204" s="18"/>
      <c r="P204" s="16"/>
      <c r="Q204" s="18"/>
    </row>
    <row r="205" customFormat="false" ht="15" hidden="false" customHeight="false" outlineLevel="0" collapsed="false">
      <c r="A205" s="14" t="str">
        <f aca="false">IF(B205="","",ROW()-11)</f>
        <v/>
      </c>
      <c r="B205" s="15"/>
      <c r="C205" s="16"/>
      <c r="D205" s="16"/>
      <c r="E205" s="16"/>
      <c r="F205" s="16"/>
      <c r="G205" s="16"/>
      <c r="H205" s="16"/>
      <c r="I205" s="17" t="str">
        <f aca="false">IF(B205="","",SUM(J205:N205))</f>
        <v/>
      </c>
      <c r="J205" s="18"/>
      <c r="K205" s="18"/>
      <c r="L205" s="17" t="str">
        <f aca="false">IF(K205="","",ROUND(K205*$P$4,2))</f>
        <v/>
      </c>
      <c r="M205" s="18"/>
      <c r="N205" s="17" t="str">
        <f aca="false">IF(M205="","",ROUND(M205*$P$5,2))</f>
        <v/>
      </c>
      <c r="O205" s="18"/>
      <c r="P205" s="16"/>
      <c r="Q205" s="18"/>
    </row>
    <row r="206" customFormat="false" ht="15" hidden="false" customHeight="false" outlineLevel="0" collapsed="false">
      <c r="A206" s="14" t="str">
        <f aca="false">IF(B206="","",ROW()-11)</f>
        <v/>
      </c>
      <c r="B206" s="15"/>
      <c r="C206" s="16"/>
      <c r="D206" s="16"/>
      <c r="E206" s="16"/>
      <c r="F206" s="16"/>
      <c r="G206" s="16"/>
      <c r="H206" s="16"/>
      <c r="I206" s="17" t="str">
        <f aca="false">IF(B206="","",SUM(J206:N206))</f>
        <v/>
      </c>
      <c r="J206" s="18"/>
      <c r="K206" s="18"/>
      <c r="L206" s="17" t="str">
        <f aca="false">IF(K206="","",ROUND(K206*$P$4,2))</f>
        <v/>
      </c>
      <c r="M206" s="18"/>
      <c r="N206" s="17" t="str">
        <f aca="false">IF(M206="","",ROUND(M206*$P$5,2))</f>
        <v/>
      </c>
      <c r="O206" s="18"/>
      <c r="P206" s="16"/>
      <c r="Q206" s="18"/>
    </row>
    <row r="207" customFormat="false" ht="15" hidden="false" customHeight="false" outlineLevel="0" collapsed="false">
      <c r="A207" s="14" t="str">
        <f aca="false">IF(B207="","",ROW()-11)</f>
        <v/>
      </c>
      <c r="B207" s="15"/>
      <c r="C207" s="16"/>
      <c r="D207" s="16"/>
      <c r="E207" s="16"/>
      <c r="F207" s="16"/>
      <c r="G207" s="16"/>
      <c r="H207" s="16"/>
      <c r="I207" s="17" t="str">
        <f aca="false">IF(B207="","",SUM(J207:N207))</f>
        <v/>
      </c>
      <c r="J207" s="18"/>
      <c r="K207" s="18"/>
      <c r="L207" s="17" t="str">
        <f aca="false">IF(K207="","",ROUND(K207*$P$4,2))</f>
        <v/>
      </c>
      <c r="M207" s="18"/>
      <c r="N207" s="17" t="str">
        <f aca="false">IF(M207="","",ROUND(M207*$P$5,2))</f>
        <v/>
      </c>
      <c r="O207" s="18"/>
      <c r="P207" s="16"/>
      <c r="Q207" s="18"/>
    </row>
    <row r="208" customFormat="false" ht="15" hidden="false" customHeight="false" outlineLevel="0" collapsed="false">
      <c r="A208" s="14" t="str">
        <f aca="false">IF(B208="","",ROW()-11)</f>
        <v/>
      </c>
      <c r="B208" s="15"/>
      <c r="C208" s="16"/>
      <c r="D208" s="16"/>
      <c r="E208" s="16"/>
      <c r="F208" s="16"/>
      <c r="G208" s="16"/>
      <c r="H208" s="16"/>
      <c r="I208" s="17" t="str">
        <f aca="false">IF(B208="","",SUM(J208:N208))</f>
        <v/>
      </c>
      <c r="J208" s="18"/>
      <c r="K208" s="18"/>
      <c r="L208" s="17" t="str">
        <f aca="false">IF(K208="","",ROUND(K208*$P$4,2))</f>
        <v/>
      </c>
      <c r="M208" s="18"/>
      <c r="N208" s="17" t="str">
        <f aca="false">IF(M208="","",ROUND(M208*$P$5,2))</f>
        <v/>
      </c>
      <c r="O208" s="18"/>
      <c r="P208" s="16"/>
      <c r="Q208" s="18"/>
    </row>
    <row r="209" customFormat="false" ht="15" hidden="false" customHeight="false" outlineLevel="0" collapsed="false">
      <c r="A209" s="14" t="str">
        <f aca="false">IF(B209="","",ROW()-11)</f>
        <v/>
      </c>
      <c r="B209" s="15"/>
      <c r="C209" s="16"/>
      <c r="D209" s="16"/>
      <c r="E209" s="16"/>
      <c r="F209" s="16"/>
      <c r="G209" s="16"/>
      <c r="H209" s="16"/>
      <c r="I209" s="17" t="str">
        <f aca="false">IF(B209="","",SUM(J209:N209))</f>
        <v/>
      </c>
      <c r="J209" s="18"/>
      <c r="K209" s="18"/>
      <c r="L209" s="17" t="str">
        <f aca="false">IF(K209="","",ROUND(K209*$P$4,2))</f>
        <v/>
      </c>
      <c r="M209" s="18"/>
      <c r="N209" s="17" t="str">
        <f aca="false">IF(M209="","",ROUND(M209*$P$5,2))</f>
        <v/>
      </c>
      <c r="O209" s="18"/>
      <c r="P209" s="16"/>
      <c r="Q209" s="18"/>
    </row>
    <row r="210" customFormat="false" ht="15" hidden="false" customHeight="false" outlineLevel="0" collapsed="false">
      <c r="A210" s="14" t="str">
        <f aca="false">IF(B210="","",ROW()-11)</f>
        <v/>
      </c>
      <c r="B210" s="15"/>
      <c r="C210" s="16"/>
      <c r="D210" s="16"/>
      <c r="E210" s="16"/>
      <c r="F210" s="16"/>
      <c r="G210" s="16"/>
      <c r="H210" s="16"/>
      <c r="I210" s="17" t="str">
        <f aca="false">IF(B210="","",SUM(J210:N210))</f>
        <v/>
      </c>
      <c r="J210" s="18"/>
      <c r="K210" s="18"/>
      <c r="L210" s="17" t="str">
        <f aca="false">IF(K210="","",ROUND(K210*$P$4,2))</f>
        <v/>
      </c>
      <c r="M210" s="18"/>
      <c r="N210" s="17" t="str">
        <f aca="false">IF(M210="","",ROUND(M210*$P$5,2))</f>
        <v/>
      </c>
      <c r="O210" s="18"/>
      <c r="P210" s="16"/>
      <c r="Q210" s="18"/>
    </row>
    <row r="211" customFormat="false" ht="15" hidden="false" customHeight="false" outlineLevel="0" collapsed="false">
      <c r="A211" s="14" t="str">
        <f aca="false">IF(B211="","",ROW()-11)</f>
        <v/>
      </c>
      <c r="B211" s="15"/>
      <c r="C211" s="16"/>
      <c r="D211" s="16"/>
      <c r="E211" s="16"/>
      <c r="F211" s="16"/>
      <c r="G211" s="16"/>
      <c r="H211" s="16"/>
      <c r="I211" s="17" t="str">
        <f aca="false">IF(B211="","",SUM(J211:N211))</f>
        <v/>
      </c>
      <c r="J211" s="18"/>
      <c r="K211" s="18"/>
      <c r="L211" s="17" t="str">
        <f aca="false">IF(K211="","",ROUND(K211*$P$4,2))</f>
        <v/>
      </c>
      <c r="M211" s="18"/>
      <c r="N211" s="17" t="str">
        <f aca="false">IF(M211="","",ROUND(M211*$P$5,2))</f>
        <v/>
      </c>
      <c r="O211" s="18"/>
      <c r="P211" s="16"/>
      <c r="Q211" s="18"/>
    </row>
    <row r="212" customFormat="false" ht="15" hidden="false" customHeight="false" outlineLevel="0" collapsed="false">
      <c r="A212" s="14" t="str">
        <f aca="false">IF(B212="","",ROW()-11)</f>
        <v/>
      </c>
      <c r="B212" s="15"/>
      <c r="C212" s="16"/>
      <c r="D212" s="16"/>
      <c r="E212" s="16"/>
      <c r="F212" s="16"/>
      <c r="G212" s="16"/>
      <c r="H212" s="16"/>
      <c r="I212" s="17" t="str">
        <f aca="false">IF(B212="","",SUM(J212:N212))</f>
        <v/>
      </c>
      <c r="J212" s="18"/>
      <c r="K212" s="18"/>
      <c r="L212" s="17" t="str">
        <f aca="false">IF(K212="","",ROUND(K212*$P$4,2))</f>
        <v/>
      </c>
      <c r="M212" s="18"/>
      <c r="N212" s="17" t="str">
        <f aca="false">IF(M212="","",ROUND(M212*$P$5,2))</f>
        <v/>
      </c>
      <c r="O212" s="18"/>
      <c r="P212" s="16"/>
      <c r="Q212" s="18"/>
    </row>
    <row r="213" customFormat="false" ht="15" hidden="false" customHeight="false" outlineLevel="0" collapsed="false">
      <c r="A213" s="14" t="str">
        <f aca="false">IF(B213="","",ROW()-11)</f>
        <v/>
      </c>
      <c r="B213" s="15"/>
      <c r="C213" s="16"/>
      <c r="D213" s="16"/>
      <c r="E213" s="16"/>
      <c r="F213" s="16"/>
      <c r="G213" s="16"/>
      <c r="H213" s="16"/>
      <c r="I213" s="17" t="str">
        <f aca="false">IF(B213="","",SUM(J213:N213))</f>
        <v/>
      </c>
      <c r="J213" s="18"/>
      <c r="K213" s="18"/>
      <c r="L213" s="17" t="str">
        <f aca="false">IF(K213="","",ROUND(K213*$P$4,2))</f>
        <v/>
      </c>
      <c r="M213" s="18"/>
      <c r="N213" s="17" t="str">
        <f aca="false">IF(M213="","",ROUND(M213*$P$5,2))</f>
        <v/>
      </c>
      <c r="O213" s="18"/>
      <c r="P213" s="16"/>
      <c r="Q213" s="18"/>
    </row>
    <row r="214" customFormat="false" ht="15" hidden="false" customHeight="false" outlineLevel="0" collapsed="false">
      <c r="A214" s="14" t="str">
        <f aca="false">IF(B214="","",ROW()-11)</f>
        <v/>
      </c>
      <c r="B214" s="15"/>
      <c r="C214" s="16"/>
      <c r="D214" s="16"/>
      <c r="E214" s="16"/>
      <c r="F214" s="16"/>
      <c r="G214" s="16"/>
      <c r="H214" s="16"/>
      <c r="I214" s="17" t="str">
        <f aca="false">IF(B214="","",SUM(J214:N214))</f>
        <v/>
      </c>
      <c r="J214" s="18"/>
      <c r="K214" s="18"/>
      <c r="L214" s="17" t="str">
        <f aca="false">IF(K214="","",ROUND(K214*$P$4,2))</f>
        <v/>
      </c>
      <c r="M214" s="18"/>
      <c r="N214" s="17" t="str">
        <f aca="false">IF(M214="","",ROUND(M214*$P$5,2))</f>
        <v/>
      </c>
      <c r="O214" s="18"/>
      <c r="P214" s="16"/>
      <c r="Q214" s="18"/>
    </row>
    <row r="215" customFormat="false" ht="15" hidden="false" customHeight="false" outlineLevel="0" collapsed="false">
      <c r="A215" s="14" t="str">
        <f aca="false">IF(B215="","",ROW()-11)</f>
        <v/>
      </c>
      <c r="B215" s="15"/>
      <c r="C215" s="16"/>
      <c r="D215" s="16"/>
      <c r="E215" s="16"/>
      <c r="F215" s="16"/>
      <c r="G215" s="16"/>
      <c r="H215" s="16"/>
      <c r="I215" s="17" t="str">
        <f aca="false">IF(B215="","",SUM(J215:N215))</f>
        <v/>
      </c>
      <c r="J215" s="18"/>
      <c r="K215" s="18"/>
      <c r="L215" s="17" t="str">
        <f aca="false">IF(K215="","",ROUND(K215*$P$4,2))</f>
        <v/>
      </c>
      <c r="M215" s="18"/>
      <c r="N215" s="17" t="str">
        <f aca="false">IF(M215="","",ROUND(M215*$P$5,2))</f>
        <v/>
      </c>
      <c r="O215" s="18"/>
      <c r="P215" s="16"/>
      <c r="Q215" s="18"/>
    </row>
    <row r="216" customFormat="false" ht="15" hidden="false" customHeight="false" outlineLevel="0" collapsed="false">
      <c r="A216" s="14" t="str">
        <f aca="false">IF(B216="","",ROW()-11)</f>
        <v/>
      </c>
      <c r="B216" s="15"/>
      <c r="C216" s="16"/>
      <c r="D216" s="16"/>
      <c r="E216" s="16"/>
      <c r="F216" s="16"/>
      <c r="G216" s="16"/>
      <c r="H216" s="16"/>
      <c r="I216" s="17" t="str">
        <f aca="false">IF(B216="","",SUM(J216:N216))</f>
        <v/>
      </c>
      <c r="J216" s="18"/>
      <c r="K216" s="18"/>
      <c r="L216" s="17" t="str">
        <f aca="false">IF(K216="","",ROUND(K216*$P$4,2))</f>
        <v/>
      </c>
      <c r="M216" s="18"/>
      <c r="N216" s="17" t="str">
        <f aca="false">IF(M216="","",ROUND(M216*$P$5,2))</f>
        <v/>
      </c>
      <c r="O216" s="18"/>
      <c r="P216" s="16"/>
      <c r="Q216" s="18"/>
    </row>
    <row r="217" customFormat="false" ht="15" hidden="false" customHeight="false" outlineLevel="0" collapsed="false">
      <c r="A217" s="14" t="str">
        <f aca="false">IF(B217="","",ROW()-11)</f>
        <v/>
      </c>
      <c r="B217" s="15"/>
      <c r="C217" s="16"/>
      <c r="D217" s="16"/>
      <c r="E217" s="16"/>
      <c r="F217" s="16"/>
      <c r="G217" s="16"/>
      <c r="H217" s="16"/>
      <c r="I217" s="17" t="str">
        <f aca="false">IF(B217="","",SUM(J217:N217))</f>
        <v/>
      </c>
      <c r="J217" s="18"/>
      <c r="K217" s="18"/>
      <c r="L217" s="17" t="str">
        <f aca="false">IF(K217="","",ROUND(K217*$P$4,2))</f>
        <v/>
      </c>
      <c r="M217" s="18"/>
      <c r="N217" s="17" t="str">
        <f aca="false">IF(M217="","",ROUND(M217*$P$5,2))</f>
        <v/>
      </c>
      <c r="O217" s="18"/>
      <c r="P217" s="16"/>
      <c r="Q217" s="18"/>
    </row>
    <row r="218" customFormat="false" ht="15" hidden="false" customHeight="false" outlineLevel="0" collapsed="false">
      <c r="A218" s="14" t="str">
        <f aca="false">IF(B218="","",ROW()-11)</f>
        <v/>
      </c>
      <c r="B218" s="15"/>
      <c r="C218" s="16"/>
      <c r="D218" s="16"/>
      <c r="E218" s="16"/>
      <c r="F218" s="16"/>
      <c r="G218" s="16"/>
      <c r="H218" s="16"/>
      <c r="I218" s="17" t="str">
        <f aca="false">IF(B218="","",SUM(J218:N218))</f>
        <v/>
      </c>
      <c r="J218" s="18"/>
      <c r="K218" s="18"/>
      <c r="L218" s="17" t="str">
        <f aca="false">IF(K218="","",ROUND(K218*$P$4,2))</f>
        <v/>
      </c>
      <c r="M218" s="18"/>
      <c r="N218" s="17" t="str">
        <f aca="false">IF(M218="","",ROUND(M218*$P$5,2))</f>
        <v/>
      </c>
      <c r="O218" s="18"/>
      <c r="P218" s="16"/>
      <c r="Q218" s="18"/>
    </row>
    <row r="219" customFormat="false" ht="15" hidden="false" customHeight="false" outlineLevel="0" collapsed="false">
      <c r="A219" s="14" t="str">
        <f aca="false">IF(B219="","",ROW()-11)</f>
        <v/>
      </c>
      <c r="B219" s="15"/>
      <c r="C219" s="16"/>
      <c r="D219" s="16"/>
      <c r="E219" s="16"/>
      <c r="F219" s="16"/>
      <c r="G219" s="16"/>
      <c r="H219" s="16"/>
      <c r="I219" s="17" t="str">
        <f aca="false">IF(B219="","",SUM(J219:N219))</f>
        <v/>
      </c>
      <c r="J219" s="18"/>
      <c r="K219" s="18"/>
      <c r="L219" s="17" t="str">
        <f aca="false">IF(K219="","",ROUND(K219*$P$4,2))</f>
        <v/>
      </c>
      <c r="M219" s="18"/>
      <c r="N219" s="17" t="str">
        <f aca="false">IF(M219="","",ROUND(M219*$P$5,2))</f>
        <v/>
      </c>
      <c r="O219" s="18"/>
      <c r="P219" s="16"/>
      <c r="Q219" s="18"/>
    </row>
    <row r="220" customFormat="false" ht="15" hidden="false" customHeight="false" outlineLevel="0" collapsed="false">
      <c r="A220" s="14" t="str">
        <f aca="false">IF(B220="","",ROW()-11)</f>
        <v/>
      </c>
      <c r="B220" s="15"/>
      <c r="C220" s="16"/>
      <c r="D220" s="16"/>
      <c r="E220" s="16"/>
      <c r="F220" s="16"/>
      <c r="G220" s="16"/>
      <c r="H220" s="16"/>
      <c r="I220" s="17" t="str">
        <f aca="false">IF(B220="","",SUM(J220:N220))</f>
        <v/>
      </c>
      <c r="J220" s="18"/>
      <c r="K220" s="18"/>
      <c r="L220" s="17" t="str">
        <f aca="false">IF(K220="","",ROUND(K220*$P$4,2))</f>
        <v/>
      </c>
      <c r="M220" s="18"/>
      <c r="N220" s="17" t="str">
        <f aca="false">IF(M220="","",ROUND(M220*$P$5,2))</f>
        <v/>
      </c>
      <c r="O220" s="18"/>
      <c r="P220" s="16"/>
      <c r="Q220" s="18"/>
    </row>
    <row r="221" customFormat="false" ht="15" hidden="false" customHeight="false" outlineLevel="0" collapsed="false">
      <c r="A221" s="14" t="str">
        <f aca="false">IF(B221="","",ROW()-11)</f>
        <v/>
      </c>
      <c r="B221" s="15"/>
      <c r="C221" s="16"/>
      <c r="D221" s="16"/>
      <c r="E221" s="16"/>
      <c r="F221" s="16"/>
      <c r="G221" s="16"/>
      <c r="H221" s="16"/>
      <c r="I221" s="17" t="str">
        <f aca="false">IF(B221="","",SUM(J221:N221))</f>
        <v/>
      </c>
      <c r="J221" s="18"/>
      <c r="K221" s="18"/>
      <c r="L221" s="17" t="str">
        <f aca="false">IF(K221="","",ROUND(K221*$P$4,2))</f>
        <v/>
      </c>
      <c r="M221" s="18"/>
      <c r="N221" s="17" t="str">
        <f aca="false">IF(M221="","",ROUND(M221*$P$5,2))</f>
        <v/>
      </c>
      <c r="O221" s="18"/>
      <c r="P221" s="16"/>
      <c r="Q221" s="18"/>
    </row>
    <row r="222" customFormat="false" ht="15" hidden="false" customHeight="false" outlineLevel="0" collapsed="false">
      <c r="A222" s="14" t="str">
        <f aca="false">IF(B222="","",ROW()-11)</f>
        <v/>
      </c>
      <c r="B222" s="15"/>
      <c r="C222" s="16"/>
      <c r="D222" s="16"/>
      <c r="E222" s="16"/>
      <c r="F222" s="16"/>
      <c r="G222" s="16"/>
      <c r="H222" s="16"/>
      <c r="I222" s="17" t="str">
        <f aca="false">IF(B222="","",SUM(J222:N222))</f>
        <v/>
      </c>
      <c r="J222" s="18"/>
      <c r="K222" s="18"/>
      <c r="L222" s="17" t="str">
        <f aca="false">IF(K222="","",ROUND(K222*$P$4,2))</f>
        <v/>
      </c>
      <c r="M222" s="18"/>
      <c r="N222" s="17" t="str">
        <f aca="false">IF(M222="","",ROUND(M222*$P$5,2))</f>
        <v/>
      </c>
      <c r="O222" s="18"/>
      <c r="P222" s="16"/>
      <c r="Q222" s="18"/>
    </row>
    <row r="223" customFormat="false" ht="15" hidden="false" customHeight="false" outlineLevel="0" collapsed="false">
      <c r="A223" s="14" t="str">
        <f aca="false">IF(B223="","",ROW()-11)</f>
        <v/>
      </c>
      <c r="B223" s="15"/>
      <c r="C223" s="16"/>
      <c r="D223" s="16"/>
      <c r="E223" s="16"/>
      <c r="F223" s="16"/>
      <c r="G223" s="16"/>
      <c r="H223" s="16"/>
      <c r="I223" s="17" t="str">
        <f aca="false">IF(B223="","",SUM(J223:N223))</f>
        <v/>
      </c>
      <c r="J223" s="18"/>
      <c r="K223" s="18"/>
      <c r="L223" s="17" t="str">
        <f aca="false">IF(K223="","",ROUND(K223*$P$4,2))</f>
        <v/>
      </c>
      <c r="M223" s="18"/>
      <c r="N223" s="17" t="str">
        <f aca="false">IF(M223="","",ROUND(M223*$P$5,2))</f>
        <v/>
      </c>
      <c r="O223" s="18"/>
      <c r="P223" s="16"/>
      <c r="Q223" s="18"/>
    </row>
    <row r="224" customFormat="false" ht="15" hidden="false" customHeight="false" outlineLevel="0" collapsed="false">
      <c r="A224" s="14" t="str">
        <f aca="false">IF(B224="","",ROW()-11)</f>
        <v/>
      </c>
      <c r="B224" s="15"/>
      <c r="C224" s="16"/>
      <c r="D224" s="16"/>
      <c r="E224" s="16"/>
      <c r="F224" s="16"/>
      <c r="G224" s="16"/>
      <c r="H224" s="16"/>
      <c r="I224" s="17" t="str">
        <f aca="false">IF(B224="","",SUM(J224:N224))</f>
        <v/>
      </c>
      <c r="J224" s="18"/>
      <c r="K224" s="18"/>
      <c r="L224" s="17" t="str">
        <f aca="false">IF(K224="","",ROUND(K224*$P$4,2))</f>
        <v/>
      </c>
      <c r="M224" s="18"/>
      <c r="N224" s="17" t="str">
        <f aca="false">IF(M224="","",ROUND(M224*$P$5,2))</f>
        <v/>
      </c>
      <c r="O224" s="18"/>
      <c r="P224" s="16"/>
      <c r="Q224" s="18"/>
    </row>
    <row r="225" customFormat="false" ht="15" hidden="false" customHeight="false" outlineLevel="0" collapsed="false">
      <c r="A225" s="14" t="str">
        <f aca="false">IF(B225="","",ROW()-11)</f>
        <v/>
      </c>
      <c r="B225" s="15"/>
      <c r="C225" s="16"/>
      <c r="D225" s="16"/>
      <c r="E225" s="16"/>
      <c r="F225" s="16"/>
      <c r="G225" s="16"/>
      <c r="H225" s="16"/>
      <c r="I225" s="17" t="str">
        <f aca="false">IF(B225="","",SUM(J225:N225))</f>
        <v/>
      </c>
      <c r="J225" s="18"/>
      <c r="K225" s="18"/>
      <c r="L225" s="17" t="str">
        <f aca="false">IF(K225="","",ROUND(K225*$P$4,2))</f>
        <v/>
      </c>
      <c r="M225" s="18"/>
      <c r="N225" s="17" t="str">
        <f aca="false">IF(M225="","",ROUND(M225*$P$5,2))</f>
        <v/>
      </c>
      <c r="O225" s="18"/>
      <c r="P225" s="16"/>
      <c r="Q225" s="18"/>
    </row>
    <row r="226" customFormat="false" ht="15" hidden="false" customHeight="false" outlineLevel="0" collapsed="false">
      <c r="A226" s="14" t="str">
        <f aca="false">IF(B226="","",ROW()-11)</f>
        <v/>
      </c>
      <c r="B226" s="15"/>
      <c r="C226" s="16"/>
      <c r="D226" s="16"/>
      <c r="E226" s="16"/>
      <c r="F226" s="16"/>
      <c r="G226" s="16"/>
      <c r="H226" s="16"/>
      <c r="I226" s="17" t="str">
        <f aca="false">IF(B226="","",SUM(J226:N226))</f>
        <v/>
      </c>
      <c r="J226" s="18"/>
      <c r="K226" s="18"/>
      <c r="L226" s="17" t="str">
        <f aca="false">IF(K226="","",ROUND(K226*$P$4,2))</f>
        <v/>
      </c>
      <c r="M226" s="18"/>
      <c r="N226" s="17" t="str">
        <f aca="false">IF(M226="","",ROUND(M226*$P$5,2))</f>
        <v/>
      </c>
      <c r="O226" s="18"/>
      <c r="P226" s="16"/>
      <c r="Q226" s="18"/>
    </row>
    <row r="227" customFormat="false" ht="15" hidden="false" customHeight="false" outlineLevel="0" collapsed="false">
      <c r="A227" s="14" t="str">
        <f aca="false">IF(B227="","",ROW()-11)</f>
        <v/>
      </c>
      <c r="B227" s="15"/>
      <c r="C227" s="16"/>
      <c r="D227" s="16"/>
      <c r="E227" s="16"/>
      <c r="F227" s="16"/>
      <c r="G227" s="16"/>
      <c r="H227" s="16"/>
      <c r="I227" s="17" t="str">
        <f aca="false">IF(B227="","",SUM(J227:N227))</f>
        <v/>
      </c>
      <c r="J227" s="18"/>
      <c r="K227" s="18"/>
      <c r="L227" s="17" t="str">
        <f aca="false">IF(K227="","",ROUND(K227*$P$4,2))</f>
        <v/>
      </c>
      <c r="M227" s="18"/>
      <c r="N227" s="17" t="str">
        <f aca="false">IF(M227="","",ROUND(M227*$P$5,2))</f>
        <v/>
      </c>
      <c r="O227" s="18"/>
      <c r="P227" s="16"/>
      <c r="Q227" s="18"/>
    </row>
    <row r="228" customFormat="false" ht="15" hidden="false" customHeight="false" outlineLevel="0" collapsed="false">
      <c r="A228" s="14" t="str">
        <f aca="false">IF(B228="","",ROW()-11)</f>
        <v/>
      </c>
      <c r="B228" s="15"/>
      <c r="C228" s="16"/>
      <c r="D228" s="16"/>
      <c r="E228" s="16"/>
      <c r="F228" s="16"/>
      <c r="G228" s="16"/>
      <c r="H228" s="16"/>
      <c r="I228" s="17" t="str">
        <f aca="false">IF(B228="","",SUM(J228:N228))</f>
        <v/>
      </c>
      <c r="J228" s="18"/>
      <c r="K228" s="18"/>
      <c r="L228" s="17" t="str">
        <f aca="false">IF(K228="","",ROUND(K228*$P$4,2))</f>
        <v/>
      </c>
      <c r="M228" s="18"/>
      <c r="N228" s="17" t="str">
        <f aca="false">IF(M228="","",ROUND(M228*$P$5,2))</f>
        <v/>
      </c>
      <c r="O228" s="18"/>
      <c r="P228" s="16"/>
      <c r="Q228" s="18"/>
    </row>
    <row r="229" customFormat="false" ht="15" hidden="false" customHeight="false" outlineLevel="0" collapsed="false">
      <c r="A229" s="14" t="str">
        <f aca="false">IF(B229="","",ROW()-11)</f>
        <v/>
      </c>
      <c r="B229" s="15"/>
      <c r="C229" s="16"/>
      <c r="D229" s="16"/>
      <c r="E229" s="16"/>
      <c r="F229" s="16"/>
      <c r="G229" s="16"/>
      <c r="H229" s="16"/>
      <c r="I229" s="17" t="str">
        <f aca="false">IF(B229="","",SUM(J229:N229))</f>
        <v/>
      </c>
      <c r="J229" s="18"/>
      <c r="K229" s="18"/>
      <c r="L229" s="17" t="str">
        <f aca="false">IF(K229="","",ROUND(K229*$P$4,2))</f>
        <v/>
      </c>
      <c r="M229" s="18"/>
      <c r="N229" s="17" t="str">
        <f aca="false">IF(M229="","",ROUND(M229*$P$5,2))</f>
        <v/>
      </c>
      <c r="O229" s="18"/>
      <c r="P229" s="16"/>
      <c r="Q229" s="18"/>
    </row>
    <row r="230" customFormat="false" ht="15" hidden="false" customHeight="false" outlineLevel="0" collapsed="false">
      <c r="A230" s="14" t="str">
        <f aca="false">IF(B230="","",ROW()-11)</f>
        <v/>
      </c>
      <c r="B230" s="15"/>
      <c r="C230" s="16"/>
      <c r="D230" s="16"/>
      <c r="E230" s="16"/>
      <c r="F230" s="16"/>
      <c r="G230" s="16"/>
      <c r="H230" s="16"/>
      <c r="I230" s="17" t="str">
        <f aca="false">IF(B230="","",SUM(J230:N230))</f>
        <v/>
      </c>
      <c r="J230" s="18"/>
      <c r="K230" s="18"/>
      <c r="L230" s="17" t="str">
        <f aca="false">IF(K230="","",ROUND(K230*$P$4,2))</f>
        <v/>
      </c>
      <c r="M230" s="18"/>
      <c r="N230" s="17" t="str">
        <f aca="false">IF(M230="","",ROUND(M230*$P$5,2))</f>
        <v/>
      </c>
      <c r="O230" s="18"/>
      <c r="P230" s="16"/>
      <c r="Q230" s="18"/>
    </row>
    <row r="231" customFormat="false" ht="15" hidden="false" customHeight="false" outlineLevel="0" collapsed="false">
      <c r="A231" s="14" t="str">
        <f aca="false">IF(B231="","",ROW()-11)</f>
        <v/>
      </c>
      <c r="B231" s="15"/>
      <c r="C231" s="16"/>
      <c r="D231" s="16"/>
      <c r="E231" s="16"/>
      <c r="F231" s="16"/>
      <c r="G231" s="16"/>
      <c r="H231" s="16"/>
      <c r="I231" s="17" t="str">
        <f aca="false">IF(B231="","",SUM(J231:N231))</f>
        <v/>
      </c>
      <c r="J231" s="18"/>
      <c r="K231" s="18"/>
      <c r="L231" s="17" t="str">
        <f aca="false">IF(K231="","",ROUND(K231*$P$4,2))</f>
        <v/>
      </c>
      <c r="M231" s="18"/>
      <c r="N231" s="17" t="str">
        <f aca="false">IF(M231="","",ROUND(M231*$P$5,2))</f>
        <v/>
      </c>
      <c r="O231" s="18"/>
      <c r="P231" s="16"/>
      <c r="Q231" s="18"/>
    </row>
    <row r="232" customFormat="false" ht="15" hidden="false" customHeight="false" outlineLevel="0" collapsed="false">
      <c r="A232" s="14" t="str">
        <f aca="false">IF(B232="","",ROW()-11)</f>
        <v/>
      </c>
      <c r="B232" s="15"/>
      <c r="C232" s="16"/>
      <c r="D232" s="16"/>
      <c r="E232" s="16"/>
      <c r="F232" s="16"/>
      <c r="G232" s="16"/>
      <c r="H232" s="16"/>
      <c r="I232" s="17" t="str">
        <f aca="false">IF(B232="","",SUM(J232:N232))</f>
        <v/>
      </c>
      <c r="J232" s="18"/>
      <c r="K232" s="18"/>
      <c r="L232" s="17" t="str">
        <f aca="false">IF(K232="","",ROUND(K232*$P$4,2))</f>
        <v/>
      </c>
      <c r="M232" s="18"/>
      <c r="N232" s="17" t="str">
        <f aca="false">IF(M232="","",ROUND(M232*$P$5,2))</f>
        <v/>
      </c>
      <c r="O232" s="18"/>
      <c r="P232" s="16"/>
      <c r="Q232" s="18"/>
    </row>
    <row r="233" customFormat="false" ht="15" hidden="false" customHeight="false" outlineLevel="0" collapsed="false">
      <c r="A233" s="14" t="str">
        <f aca="false">IF(B233="","",ROW()-11)</f>
        <v/>
      </c>
      <c r="B233" s="15"/>
      <c r="C233" s="16"/>
      <c r="D233" s="16"/>
      <c r="E233" s="16"/>
      <c r="F233" s="16"/>
      <c r="G233" s="16"/>
      <c r="H233" s="16"/>
      <c r="I233" s="17" t="str">
        <f aca="false">IF(B233="","",SUM(J233:N233))</f>
        <v/>
      </c>
      <c r="J233" s="18"/>
      <c r="K233" s="18"/>
      <c r="L233" s="17" t="str">
        <f aca="false">IF(K233="","",ROUND(K233*$P$4,2))</f>
        <v/>
      </c>
      <c r="M233" s="18"/>
      <c r="N233" s="17" t="str">
        <f aca="false">IF(M233="","",ROUND(M233*$P$5,2))</f>
        <v/>
      </c>
      <c r="O233" s="18"/>
      <c r="P233" s="16"/>
      <c r="Q233" s="18"/>
    </row>
    <row r="234" customFormat="false" ht="15" hidden="false" customHeight="false" outlineLevel="0" collapsed="false">
      <c r="A234" s="14" t="str">
        <f aca="false">IF(B234="","",ROW()-11)</f>
        <v/>
      </c>
      <c r="B234" s="15"/>
      <c r="C234" s="16"/>
      <c r="D234" s="16"/>
      <c r="E234" s="16"/>
      <c r="F234" s="16"/>
      <c r="G234" s="16"/>
      <c r="H234" s="16"/>
      <c r="I234" s="17" t="str">
        <f aca="false">IF(B234="","",SUM(J234:N234))</f>
        <v/>
      </c>
      <c r="J234" s="18"/>
      <c r="K234" s="18"/>
      <c r="L234" s="17" t="str">
        <f aca="false">IF(K234="","",ROUND(K234*$P$4,2))</f>
        <v/>
      </c>
      <c r="M234" s="18"/>
      <c r="N234" s="17" t="str">
        <f aca="false">IF(M234="","",ROUND(M234*$P$5,2))</f>
        <v/>
      </c>
      <c r="O234" s="18"/>
      <c r="P234" s="16"/>
      <c r="Q234" s="18"/>
    </row>
    <row r="235" customFormat="false" ht="15" hidden="false" customHeight="false" outlineLevel="0" collapsed="false">
      <c r="A235" s="14" t="str">
        <f aca="false">IF(B235="","",ROW()-11)</f>
        <v/>
      </c>
      <c r="B235" s="15"/>
      <c r="C235" s="16"/>
      <c r="D235" s="16"/>
      <c r="E235" s="16"/>
      <c r="F235" s="16"/>
      <c r="G235" s="16"/>
      <c r="H235" s="16"/>
      <c r="I235" s="17" t="str">
        <f aca="false">IF(B235="","",SUM(J235:N235))</f>
        <v/>
      </c>
      <c r="J235" s="18"/>
      <c r="K235" s="18"/>
      <c r="L235" s="17" t="str">
        <f aca="false">IF(K235="","",ROUND(K235*$P$4,2))</f>
        <v/>
      </c>
      <c r="M235" s="18"/>
      <c r="N235" s="17" t="str">
        <f aca="false">IF(M235="","",ROUND(M235*$P$5,2))</f>
        <v/>
      </c>
      <c r="O235" s="18"/>
      <c r="P235" s="16"/>
      <c r="Q235" s="18"/>
    </row>
    <row r="236" customFormat="false" ht="15" hidden="false" customHeight="false" outlineLevel="0" collapsed="false">
      <c r="A236" s="14" t="str">
        <f aca="false">IF(B236="","",ROW()-11)</f>
        <v/>
      </c>
      <c r="B236" s="15"/>
      <c r="C236" s="16"/>
      <c r="D236" s="16"/>
      <c r="E236" s="16"/>
      <c r="F236" s="16"/>
      <c r="G236" s="16"/>
      <c r="H236" s="16"/>
      <c r="I236" s="17" t="str">
        <f aca="false">IF(B236="","",SUM(J236:N236))</f>
        <v/>
      </c>
      <c r="J236" s="18"/>
      <c r="K236" s="18"/>
      <c r="L236" s="17" t="str">
        <f aca="false">IF(K236="","",ROUND(K236*$P$4,2))</f>
        <v/>
      </c>
      <c r="M236" s="18"/>
      <c r="N236" s="17" t="str">
        <f aca="false">IF(M236="","",ROUND(M236*$P$5,2))</f>
        <v/>
      </c>
      <c r="O236" s="18"/>
      <c r="P236" s="16"/>
      <c r="Q236" s="18"/>
    </row>
    <row r="237" customFormat="false" ht="15" hidden="false" customHeight="false" outlineLevel="0" collapsed="false">
      <c r="A237" s="14" t="str">
        <f aca="false">IF(B237="","",ROW()-11)</f>
        <v/>
      </c>
      <c r="B237" s="15"/>
      <c r="C237" s="16"/>
      <c r="D237" s="16"/>
      <c r="E237" s="16"/>
      <c r="F237" s="16"/>
      <c r="G237" s="16"/>
      <c r="H237" s="16"/>
      <c r="I237" s="17" t="str">
        <f aca="false">IF(B237="","",SUM(J237:N237))</f>
        <v/>
      </c>
      <c r="J237" s="18"/>
      <c r="K237" s="18"/>
      <c r="L237" s="17" t="str">
        <f aca="false">IF(K237="","",ROUND(K237*$P$4,2))</f>
        <v/>
      </c>
      <c r="M237" s="18"/>
      <c r="N237" s="17" t="str">
        <f aca="false">IF(M237="","",ROUND(M237*$P$5,2))</f>
        <v/>
      </c>
      <c r="O237" s="18"/>
      <c r="P237" s="16"/>
      <c r="Q237" s="18"/>
    </row>
    <row r="238" customFormat="false" ht="15" hidden="false" customHeight="false" outlineLevel="0" collapsed="false">
      <c r="A238" s="14" t="str">
        <f aca="false">IF(B238="","",ROW()-11)</f>
        <v/>
      </c>
      <c r="B238" s="15"/>
      <c r="C238" s="16"/>
      <c r="D238" s="16"/>
      <c r="E238" s="16"/>
      <c r="F238" s="16"/>
      <c r="G238" s="16"/>
      <c r="H238" s="16"/>
      <c r="I238" s="17" t="str">
        <f aca="false">IF(B238="","",SUM(J238:N238))</f>
        <v/>
      </c>
      <c r="J238" s="18"/>
      <c r="K238" s="18"/>
      <c r="L238" s="17" t="str">
        <f aca="false">IF(K238="","",ROUND(K238*$P$4,2))</f>
        <v/>
      </c>
      <c r="M238" s="18"/>
      <c r="N238" s="17" t="str">
        <f aca="false">IF(M238="","",ROUND(M238*$P$5,2))</f>
        <v/>
      </c>
      <c r="O238" s="18"/>
      <c r="P238" s="16"/>
      <c r="Q238" s="18"/>
    </row>
    <row r="239" customFormat="false" ht="15" hidden="false" customHeight="false" outlineLevel="0" collapsed="false">
      <c r="A239" s="14" t="str">
        <f aca="false">IF(B239="","",ROW()-11)</f>
        <v/>
      </c>
      <c r="B239" s="15"/>
      <c r="C239" s="16"/>
      <c r="D239" s="16"/>
      <c r="E239" s="16"/>
      <c r="F239" s="16"/>
      <c r="G239" s="16"/>
      <c r="H239" s="16"/>
      <c r="I239" s="17" t="str">
        <f aca="false">IF(B239="","",SUM(J239:N239))</f>
        <v/>
      </c>
      <c r="J239" s="18"/>
      <c r="K239" s="18"/>
      <c r="L239" s="17" t="str">
        <f aca="false">IF(K239="","",ROUND(K239*$P$4,2))</f>
        <v/>
      </c>
      <c r="M239" s="18"/>
      <c r="N239" s="17" t="str">
        <f aca="false">IF(M239="","",ROUND(M239*$P$5,2))</f>
        <v/>
      </c>
      <c r="O239" s="18"/>
      <c r="P239" s="16"/>
      <c r="Q239" s="18"/>
    </row>
    <row r="240" customFormat="false" ht="15" hidden="false" customHeight="false" outlineLevel="0" collapsed="false">
      <c r="A240" s="14" t="str">
        <f aca="false">IF(B240="","",ROW()-11)</f>
        <v/>
      </c>
      <c r="B240" s="15"/>
      <c r="C240" s="16"/>
      <c r="D240" s="16"/>
      <c r="E240" s="16"/>
      <c r="F240" s="16"/>
      <c r="G240" s="16"/>
      <c r="H240" s="16"/>
      <c r="I240" s="17" t="str">
        <f aca="false">IF(B240="","",SUM(J240:N240))</f>
        <v/>
      </c>
      <c r="J240" s="18"/>
      <c r="K240" s="18"/>
      <c r="L240" s="17" t="str">
        <f aca="false">IF(K240="","",ROUND(K240*$P$4,2))</f>
        <v/>
      </c>
      <c r="M240" s="18"/>
      <c r="N240" s="17" t="str">
        <f aca="false">IF(M240="","",ROUND(M240*$P$5,2))</f>
        <v/>
      </c>
      <c r="O240" s="18"/>
      <c r="P240" s="16"/>
      <c r="Q240" s="18"/>
    </row>
    <row r="241" customFormat="false" ht="15" hidden="false" customHeight="false" outlineLevel="0" collapsed="false">
      <c r="A241" s="14" t="str">
        <f aca="false">IF(B241="","",ROW()-11)</f>
        <v/>
      </c>
      <c r="B241" s="15"/>
      <c r="C241" s="16"/>
      <c r="D241" s="16"/>
      <c r="E241" s="16"/>
      <c r="F241" s="16"/>
      <c r="G241" s="16"/>
      <c r="H241" s="16"/>
      <c r="I241" s="17" t="str">
        <f aca="false">IF(B241="","",SUM(J241:N241))</f>
        <v/>
      </c>
      <c r="J241" s="18"/>
      <c r="K241" s="18"/>
      <c r="L241" s="17" t="str">
        <f aca="false">IF(K241="","",ROUND(K241*$P$4,2))</f>
        <v/>
      </c>
      <c r="M241" s="18"/>
      <c r="N241" s="17" t="str">
        <f aca="false">IF(M241="","",ROUND(M241*$P$5,2))</f>
        <v/>
      </c>
      <c r="O241" s="18"/>
      <c r="P241" s="16"/>
      <c r="Q241" s="18"/>
    </row>
    <row r="242" customFormat="false" ht="15" hidden="false" customHeight="false" outlineLevel="0" collapsed="false">
      <c r="A242" s="14" t="str">
        <f aca="false">IF(B242="","",ROW()-11)</f>
        <v/>
      </c>
      <c r="B242" s="15"/>
      <c r="C242" s="16"/>
      <c r="D242" s="16"/>
      <c r="E242" s="16"/>
      <c r="F242" s="16"/>
      <c r="G242" s="16"/>
      <c r="H242" s="16"/>
      <c r="I242" s="17" t="str">
        <f aca="false">IF(B242="","",SUM(J242:N242))</f>
        <v/>
      </c>
      <c r="J242" s="18"/>
      <c r="K242" s="18"/>
      <c r="L242" s="17" t="str">
        <f aca="false">IF(K242="","",ROUND(K242*$P$4,2))</f>
        <v/>
      </c>
      <c r="M242" s="18"/>
      <c r="N242" s="17" t="str">
        <f aca="false">IF(M242="","",ROUND(M242*$P$5,2))</f>
        <v/>
      </c>
      <c r="O242" s="18"/>
      <c r="P242" s="16"/>
      <c r="Q242" s="18"/>
    </row>
    <row r="243" customFormat="false" ht="15" hidden="false" customHeight="false" outlineLevel="0" collapsed="false">
      <c r="A243" s="14" t="str">
        <f aca="false">IF(B243="","",ROW()-11)</f>
        <v/>
      </c>
      <c r="B243" s="15"/>
      <c r="C243" s="16"/>
      <c r="D243" s="16"/>
      <c r="E243" s="16"/>
      <c r="F243" s="16"/>
      <c r="G243" s="16"/>
      <c r="H243" s="16"/>
      <c r="I243" s="17" t="str">
        <f aca="false">IF(B243="","",SUM(J243:N243))</f>
        <v/>
      </c>
      <c r="J243" s="18"/>
      <c r="K243" s="18"/>
      <c r="L243" s="17" t="str">
        <f aca="false">IF(K243="","",ROUND(K243*$P$4,2))</f>
        <v/>
      </c>
      <c r="M243" s="18"/>
      <c r="N243" s="17" t="str">
        <f aca="false">IF(M243="","",ROUND(M243*$P$5,2))</f>
        <v/>
      </c>
      <c r="O243" s="18"/>
      <c r="P243" s="16"/>
      <c r="Q243" s="18"/>
    </row>
    <row r="244" customFormat="false" ht="15" hidden="false" customHeight="false" outlineLevel="0" collapsed="false">
      <c r="A244" s="14" t="str">
        <f aca="false">IF(B244="","",ROW()-11)</f>
        <v/>
      </c>
      <c r="B244" s="15"/>
      <c r="C244" s="16"/>
      <c r="D244" s="16"/>
      <c r="E244" s="16"/>
      <c r="F244" s="16"/>
      <c r="G244" s="16"/>
      <c r="H244" s="16"/>
      <c r="I244" s="17" t="str">
        <f aca="false">IF(B244="","",SUM(J244:N244))</f>
        <v/>
      </c>
      <c r="J244" s="18"/>
      <c r="K244" s="18"/>
      <c r="L244" s="17" t="str">
        <f aca="false">IF(K244="","",ROUND(K244*$P$4,2))</f>
        <v/>
      </c>
      <c r="M244" s="18"/>
      <c r="N244" s="17" t="str">
        <f aca="false">IF(M244="","",ROUND(M244*$P$5,2))</f>
        <v/>
      </c>
      <c r="O244" s="18"/>
      <c r="P244" s="16"/>
      <c r="Q244" s="18"/>
    </row>
    <row r="245" customFormat="false" ht="15" hidden="false" customHeight="false" outlineLevel="0" collapsed="false">
      <c r="A245" s="14" t="str">
        <f aca="false">IF(B245="","",ROW()-11)</f>
        <v/>
      </c>
      <c r="B245" s="15"/>
      <c r="C245" s="16"/>
      <c r="D245" s="16"/>
      <c r="E245" s="16"/>
      <c r="F245" s="16"/>
      <c r="G245" s="16"/>
      <c r="H245" s="16"/>
      <c r="I245" s="17" t="str">
        <f aca="false">IF(B245="","",SUM(J245:N245))</f>
        <v/>
      </c>
      <c r="J245" s="18"/>
      <c r="K245" s="18"/>
      <c r="L245" s="17" t="str">
        <f aca="false">IF(K245="","",ROUND(K245*$P$4,2))</f>
        <v/>
      </c>
      <c r="M245" s="18"/>
      <c r="N245" s="17" t="str">
        <f aca="false">IF(M245="","",ROUND(M245*$P$5,2))</f>
        <v/>
      </c>
      <c r="O245" s="18"/>
      <c r="P245" s="16"/>
      <c r="Q245" s="18"/>
    </row>
    <row r="246" customFormat="false" ht="15" hidden="false" customHeight="false" outlineLevel="0" collapsed="false">
      <c r="A246" s="14" t="str">
        <f aca="false">IF(B246="","",ROW()-11)</f>
        <v/>
      </c>
      <c r="B246" s="15"/>
      <c r="C246" s="16"/>
      <c r="D246" s="16"/>
      <c r="E246" s="16"/>
      <c r="F246" s="16"/>
      <c r="G246" s="16"/>
      <c r="H246" s="16"/>
      <c r="I246" s="17" t="str">
        <f aca="false">IF(B246="","",SUM(J246:N246))</f>
        <v/>
      </c>
      <c r="J246" s="18"/>
      <c r="K246" s="18"/>
      <c r="L246" s="17" t="str">
        <f aca="false">IF(K246="","",ROUND(K246*$P$4,2))</f>
        <v/>
      </c>
      <c r="M246" s="18"/>
      <c r="N246" s="17" t="str">
        <f aca="false">IF(M246="","",ROUND(M246*$P$5,2))</f>
        <v/>
      </c>
      <c r="O246" s="18"/>
      <c r="P246" s="16"/>
      <c r="Q246" s="18"/>
    </row>
    <row r="247" customFormat="false" ht="15" hidden="false" customHeight="false" outlineLevel="0" collapsed="false">
      <c r="A247" s="14" t="str">
        <f aca="false">IF(B247="","",ROW()-11)</f>
        <v/>
      </c>
      <c r="B247" s="15"/>
      <c r="C247" s="16"/>
      <c r="D247" s="16"/>
      <c r="E247" s="16"/>
      <c r="F247" s="16"/>
      <c r="G247" s="16"/>
      <c r="H247" s="16"/>
      <c r="I247" s="17" t="str">
        <f aca="false">IF(B247="","",SUM(J247:N247))</f>
        <v/>
      </c>
      <c r="J247" s="18"/>
      <c r="K247" s="18"/>
      <c r="L247" s="17" t="str">
        <f aca="false">IF(K247="","",ROUND(K247*$P$4,2))</f>
        <v/>
      </c>
      <c r="M247" s="18"/>
      <c r="N247" s="17" t="str">
        <f aca="false">IF(M247="","",ROUND(M247*$P$5,2))</f>
        <v/>
      </c>
      <c r="O247" s="18"/>
      <c r="P247" s="16"/>
      <c r="Q247" s="18"/>
    </row>
    <row r="248" customFormat="false" ht="15" hidden="false" customHeight="false" outlineLevel="0" collapsed="false">
      <c r="A248" s="14" t="str">
        <f aca="false">IF(B248="","",ROW()-11)</f>
        <v/>
      </c>
      <c r="B248" s="15"/>
      <c r="C248" s="16"/>
      <c r="D248" s="16"/>
      <c r="E248" s="16"/>
      <c r="F248" s="16"/>
      <c r="G248" s="16"/>
      <c r="H248" s="16"/>
      <c r="I248" s="17" t="str">
        <f aca="false">IF(B248="","",SUM(J248:N248))</f>
        <v/>
      </c>
      <c r="J248" s="18"/>
      <c r="K248" s="18"/>
      <c r="L248" s="17" t="str">
        <f aca="false">IF(K248="","",ROUND(K248*$P$4,2))</f>
        <v/>
      </c>
      <c r="M248" s="18"/>
      <c r="N248" s="17" t="str">
        <f aca="false">IF(M248="","",ROUND(M248*$P$5,2))</f>
        <v/>
      </c>
      <c r="O248" s="18"/>
      <c r="P248" s="16"/>
      <c r="Q248" s="18"/>
    </row>
    <row r="249" customFormat="false" ht="15" hidden="false" customHeight="false" outlineLevel="0" collapsed="false">
      <c r="A249" s="14" t="str">
        <f aca="false">IF(B249="","",ROW()-11)</f>
        <v/>
      </c>
      <c r="B249" s="15"/>
      <c r="C249" s="16"/>
      <c r="D249" s="16"/>
      <c r="E249" s="16"/>
      <c r="F249" s="16"/>
      <c r="G249" s="16"/>
      <c r="H249" s="16"/>
      <c r="I249" s="17" t="str">
        <f aca="false">IF(B249="","",SUM(J249:N249))</f>
        <v/>
      </c>
      <c r="J249" s="18"/>
      <c r="K249" s="18"/>
      <c r="L249" s="17" t="str">
        <f aca="false">IF(K249="","",ROUND(K249*$P$4,2))</f>
        <v/>
      </c>
      <c r="M249" s="18"/>
      <c r="N249" s="17" t="str">
        <f aca="false">IF(M249="","",ROUND(M249*$P$5,2))</f>
        <v/>
      </c>
      <c r="O249" s="18"/>
      <c r="P249" s="16"/>
      <c r="Q249" s="18"/>
    </row>
    <row r="250" customFormat="false" ht="15" hidden="false" customHeight="false" outlineLevel="0" collapsed="false">
      <c r="A250" s="14" t="str">
        <f aca="false">IF(B250="","",ROW()-11)</f>
        <v/>
      </c>
      <c r="B250" s="15"/>
      <c r="C250" s="16"/>
      <c r="D250" s="16"/>
      <c r="E250" s="16"/>
      <c r="F250" s="16"/>
      <c r="G250" s="16"/>
      <c r="H250" s="16"/>
      <c r="I250" s="17" t="str">
        <f aca="false">IF(B250="","",SUM(J250:N250))</f>
        <v/>
      </c>
      <c r="J250" s="18"/>
      <c r="K250" s="18"/>
      <c r="L250" s="17" t="str">
        <f aca="false">IF(K250="","",ROUND(K250*$P$4,2))</f>
        <v/>
      </c>
      <c r="M250" s="18"/>
      <c r="N250" s="17" t="str">
        <f aca="false">IF(M250="","",ROUND(M250*$P$5,2))</f>
        <v/>
      </c>
      <c r="O250" s="18"/>
      <c r="P250" s="16"/>
      <c r="Q250" s="18"/>
    </row>
    <row r="251" customFormat="false" ht="15" hidden="false" customHeight="false" outlineLevel="0" collapsed="false">
      <c r="A251" s="14" t="str">
        <f aca="false">IF(B251="","",ROW()-11)</f>
        <v/>
      </c>
      <c r="B251" s="15"/>
      <c r="C251" s="16"/>
      <c r="D251" s="16"/>
      <c r="E251" s="16"/>
      <c r="F251" s="16"/>
      <c r="G251" s="16"/>
      <c r="H251" s="16"/>
      <c r="I251" s="17" t="str">
        <f aca="false">IF(B251="","",SUM(J251:N251))</f>
        <v/>
      </c>
      <c r="J251" s="18"/>
      <c r="K251" s="18"/>
      <c r="L251" s="17" t="str">
        <f aca="false">IF(K251="","",ROUND(K251*$P$4,2))</f>
        <v/>
      </c>
      <c r="M251" s="18"/>
      <c r="N251" s="17" t="str">
        <f aca="false">IF(M251="","",ROUND(M251*$P$5,2))</f>
        <v/>
      </c>
      <c r="O251" s="18"/>
      <c r="P251" s="16"/>
      <c r="Q251" s="18"/>
    </row>
    <row r="252" customFormat="false" ht="15" hidden="false" customHeight="false" outlineLevel="0" collapsed="false">
      <c r="A252" s="14" t="str">
        <f aca="false">IF(B252="","",ROW()-11)</f>
        <v/>
      </c>
      <c r="B252" s="15"/>
      <c r="C252" s="16"/>
      <c r="D252" s="16"/>
      <c r="E252" s="16"/>
      <c r="F252" s="16"/>
      <c r="G252" s="16"/>
      <c r="H252" s="16"/>
      <c r="I252" s="17" t="str">
        <f aca="false">IF(B252="","",SUM(J252:N252))</f>
        <v/>
      </c>
      <c r="J252" s="18"/>
      <c r="K252" s="18"/>
      <c r="L252" s="17" t="str">
        <f aca="false">IF(K252="","",ROUND(K252*$P$4,2))</f>
        <v/>
      </c>
      <c r="M252" s="18"/>
      <c r="N252" s="17" t="str">
        <f aca="false">IF(M252="","",ROUND(M252*$P$5,2))</f>
        <v/>
      </c>
      <c r="O252" s="18"/>
      <c r="P252" s="16"/>
      <c r="Q252" s="18"/>
    </row>
    <row r="253" customFormat="false" ht="15" hidden="false" customHeight="false" outlineLevel="0" collapsed="false">
      <c r="A253" s="14" t="str">
        <f aca="false">IF(B253="","",ROW()-11)</f>
        <v/>
      </c>
      <c r="B253" s="15"/>
      <c r="C253" s="16"/>
      <c r="D253" s="16"/>
      <c r="E253" s="16"/>
      <c r="F253" s="16"/>
      <c r="G253" s="16"/>
      <c r="H253" s="16"/>
      <c r="I253" s="17" t="str">
        <f aca="false">IF(B253="","",SUM(J253:N253))</f>
        <v/>
      </c>
      <c r="J253" s="18"/>
      <c r="K253" s="18"/>
      <c r="L253" s="17" t="str">
        <f aca="false">IF(K253="","",ROUND(K253*$P$4,2))</f>
        <v/>
      </c>
      <c r="M253" s="18"/>
      <c r="N253" s="17" t="str">
        <f aca="false">IF(M253="","",ROUND(M253*$P$5,2))</f>
        <v/>
      </c>
      <c r="O253" s="18"/>
      <c r="P253" s="16"/>
      <c r="Q253" s="18"/>
    </row>
    <row r="254" customFormat="false" ht="15" hidden="false" customHeight="false" outlineLevel="0" collapsed="false">
      <c r="A254" s="14" t="str">
        <f aca="false">IF(B254="","",ROW()-11)</f>
        <v/>
      </c>
      <c r="B254" s="15"/>
      <c r="C254" s="16"/>
      <c r="D254" s="16"/>
      <c r="E254" s="16"/>
      <c r="F254" s="16"/>
      <c r="G254" s="16"/>
      <c r="H254" s="16"/>
      <c r="I254" s="17" t="str">
        <f aca="false">IF(B254="","",SUM(J254:N254))</f>
        <v/>
      </c>
      <c r="J254" s="18"/>
      <c r="K254" s="18"/>
      <c r="L254" s="17" t="str">
        <f aca="false">IF(K254="","",ROUND(K254*$P$4,2))</f>
        <v/>
      </c>
      <c r="M254" s="18"/>
      <c r="N254" s="17" t="str">
        <f aca="false">IF(M254="","",ROUND(M254*$P$5,2))</f>
        <v/>
      </c>
      <c r="O254" s="18"/>
      <c r="P254" s="16"/>
      <c r="Q254" s="18"/>
    </row>
    <row r="255" customFormat="false" ht="15" hidden="false" customHeight="false" outlineLevel="0" collapsed="false">
      <c r="A255" s="14" t="str">
        <f aca="false">IF(B255="","",ROW()-11)</f>
        <v/>
      </c>
      <c r="B255" s="15"/>
      <c r="C255" s="16"/>
      <c r="D255" s="16"/>
      <c r="E255" s="16"/>
      <c r="F255" s="16"/>
      <c r="G255" s="16"/>
      <c r="H255" s="16"/>
      <c r="I255" s="17" t="str">
        <f aca="false">IF(B255="","",SUM(J255:N255))</f>
        <v/>
      </c>
      <c r="J255" s="18"/>
      <c r="K255" s="18"/>
      <c r="L255" s="17" t="str">
        <f aca="false">IF(K255="","",ROUND(K255*$P$4,2))</f>
        <v/>
      </c>
      <c r="M255" s="18"/>
      <c r="N255" s="17" t="str">
        <f aca="false">IF(M255="","",ROUND(M255*$P$5,2))</f>
        <v/>
      </c>
      <c r="O255" s="18"/>
      <c r="P255" s="16"/>
      <c r="Q255" s="18"/>
    </row>
    <row r="256" customFormat="false" ht="15" hidden="false" customHeight="false" outlineLevel="0" collapsed="false">
      <c r="A256" s="14" t="str">
        <f aca="false">IF(B256="","",ROW()-11)</f>
        <v/>
      </c>
      <c r="B256" s="15"/>
      <c r="C256" s="16"/>
      <c r="D256" s="16"/>
      <c r="E256" s="16"/>
      <c r="F256" s="16"/>
      <c r="G256" s="16"/>
      <c r="H256" s="16"/>
      <c r="I256" s="17" t="str">
        <f aca="false">IF(B256="","",SUM(J256:N256))</f>
        <v/>
      </c>
      <c r="J256" s="18"/>
      <c r="K256" s="18"/>
      <c r="L256" s="17" t="str">
        <f aca="false">IF(K256="","",ROUND(K256*$P$4,2))</f>
        <v/>
      </c>
      <c r="M256" s="18"/>
      <c r="N256" s="17" t="str">
        <f aca="false">IF(M256="","",ROUND(M256*$P$5,2))</f>
        <v/>
      </c>
      <c r="O256" s="18"/>
      <c r="P256" s="16"/>
      <c r="Q256" s="18"/>
    </row>
    <row r="257" customFormat="false" ht="15" hidden="false" customHeight="false" outlineLevel="0" collapsed="false">
      <c r="A257" s="14" t="str">
        <f aca="false">IF(B257="","",ROW()-11)</f>
        <v/>
      </c>
      <c r="B257" s="15"/>
      <c r="C257" s="16"/>
      <c r="D257" s="16"/>
      <c r="E257" s="16"/>
      <c r="F257" s="16"/>
      <c r="G257" s="16"/>
      <c r="H257" s="16"/>
      <c r="I257" s="17" t="str">
        <f aca="false">IF(B257="","",SUM(J257:N257))</f>
        <v/>
      </c>
      <c r="J257" s="18"/>
      <c r="K257" s="18"/>
      <c r="L257" s="17" t="str">
        <f aca="false">IF(K257="","",ROUND(K257*$P$4,2))</f>
        <v/>
      </c>
      <c r="M257" s="18"/>
      <c r="N257" s="17" t="str">
        <f aca="false">IF(M257="","",ROUND(M257*$P$5,2))</f>
        <v/>
      </c>
      <c r="O257" s="18"/>
      <c r="P257" s="16"/>
      <c r="Q257" s="18"/>
    </row>
    <row r="258" customFormat="false" ht="15" hidden="false" customHeight="false" outlineLevel="0" collapsed="false">
      <c r="A258" s="14" t="str">
        <f aca="false">IF(B258="","",ROW()-11)</f>
        <v/>
      </c>
      <c r="B258" s="15"/>
      <c r="C258" s="16"/>
      <c r="D258" s="16"/>
      <c r="E258" s="16"/>
      <c r="F258" s="16"/>
      <c r="G258" s="16"/>
      <c r="H258" s="16"/>
      <c r="I258" s="17" t="str">
        <f aca="false">IF(B258="","",SUM(J258:N258))</f>
        <v/>
      </c>
      <c r="J258" s="18"/>
      <c r="K258" s="18"/>
      <c r="L258" s="17" t="str">
        <f aca="false">IF(K258="","",ROUND(K258*$P$4,2))</f>
        <v/>
      </c>
      <c r="M258" s="18"/>
      <c r="N258" s="17" t="str">
        <f aca="false">IF(M258="","",ROUND(M258*$P$5,2))</f>
        <v/>
      </c>
      <c r="O258" s="18"/>
      <c r="P258" s="16"/>
      <c r="Q258" s="18"/>
    </row>
    <row r="259" customFormat="false" ht="15" hidden="false" customHeight="false" outlineLevel="0" collapsed="false">
      <c r="A259" s="14" t="str">
        <f aca="false">IF(B259="","",ROW()-11)</f>
        <v/>
      </c>
      <c r="B259" s="15"/>
      <c r="C259" s="16"/>
      <c r="D259" s="16"/>
      <c r="E259" s="16"/>
      <c r="F259" s="16"/>
      <c r="G259" s="16"/>
      <c r="H259" s="16"/>
      <c r="I259" s="17" t="str">
        <f aca="false">IF(B259="","",SUM(J259:N259))</f>
        <v/>
      </c>
      <c r="J259" s="18"/>
      <c r="K259" s="18"/>
      <c r="L259" s="17" t="str">
        <f aca="false">IF(K259="","",ROUND(K259*$P$4,2))</f>
        <v/>
      </c>
      <c r="M259" s="18"/>
      <c r="N259" s="17" t="str">
        <f aca="false">IF(M259="","",ROUND(M259*$P$5,2))</f>
        <v/>
      </c>
      <c r="O259" s="18"/>
      <c r="P259" s="16"/>
      <c r="Q259" s="18"/>
    </row>
    <row r="260" customFormat="false" ht="15" hidden="false" customHeight="false" outlineLevel="0" collapsed="false">
      <c r="A260" s="14" t="str">
        <f aca="false">IF(B260="","",ROW()-11)</f>
        <v/>
      </c>
      <c r="B260" s="15"/>
      <c r="C260" s="16"/>
      <c r="D260" s="16"/>
      <c r="E260" s="16"/>
      <c r="F260" s="16"/>
      <c r="G260" s="16"/>
      <c r="H260" s="16"/>
      <c r="I260" s="17" t="str">
        <f aca="false">IF(B260="","",SUM(J260:N260))</f>
        <v/>
      </c>
      <c r="J260" s="18"/>
      <c r="K260" s="18"/>
      <c r="L260" s="17" t="str">
        <f aca="false">IF(K260="","",ROUND(K260*$P$4,2))</f>
        <v/>
      </c>
      <c r="M260" s="18"/>
      <c r="N260" s="17" t="str">
        <f aca="false">IF(M260="","",ROUND(M260*$P$5,2))</f>
        <v/>
      </c>
      <c r="O260" s="18"/>
      <c r="P260" s="16"/>
      <c r="Q260" s="18"/>
    </row>
    <row r="261" customFormat="false" ht="15" hidden="false" customHeight="false" outlineLevel="0" collapsed="false">
      <c r="A261" s="14" t="str">
        <f aca="false">IF(B261="","",ROW()-11)</f>
        <v/>
      </c>
      <c r="B261" s="15"/>
      <c r="C261" s="16"/>
      <c r="D261" s="16"/>
      <c r="E261" s="16"/>
      <c r="F261" s="16"/>
      <c r="G261" s="16"/>
      <c r="H261" s="16"/>
      <c r="I261" s="17" t="str">
        <f aca="false">IF(B261="","",SUM(J261:N261))</f>
        <v/>
      </c>
      <c r="J261" s="18"/>
      <c r="K261" s="18"/>
      <c r="L261" s="17" t="str">
        <f aca="false">IF(K261="","",ROUND(K261*$P$4,2))</f>
        <v/>
      </c>
      <c r="M261" s="18"/>
      <c r="N261" s="17" t="str">
        <f aca="false">IF(M261="","",ROUND(M261*$P$5,2))</f>
        <v/>
      </c>
      <c r="O261" s="18"/>
      <c r="P261" s="16"/>
      <c r="Q261" s="18"/>
    </row>
    <row r="262" customFormat="false" ht="15" hidden="false" customHeight="false" outlineLevel="0" collapsed="false">
      <c r="A262" s="14" t="str">
        <f aca="false">IF(B262="","",ROW()-11)</f>
        <v/>
      </c>
      <c r="B262" s="15"/>
      <c r="C262" s="16"/>
      <c r="D262" s="16"/>
      <c r="E262" s="16"/>
      <c r="F262" s="16"/>
      <c r="G262" s="16"/>
      <c r="H262" s="16"/>
      <c r="I262" s="17" t="str">
        <f aca="false">IF(B262="","",SUM(J262:N262))</f>
        <v/>
      </c>
      <c r="J262" s="18"/>
      <c r="K262" s="18"/>
      <c r="L262" s="17" t="str">
        <f aca="false">IF(K262="","",ROUND(K262*$P$4,2))</f>
        <v/>
      </c>
      <c r="M262" s="18"/>
      <c r="N262" s="17" t="str">
        <f aca="false">IF(M262="","",ROUND(M262*$P$5,2))</f>
        <v/>
      </c>
      <c r="O262" s="18"/>
      <c r="P262" s="16"/>
      <c r="Q262" s="18"/>
    </row>
    <row r="263" customFormat="false" ht="15" hidden="false" customHeight="false" outlineLevel="0" collapsed="false">
      <c r="A263" s="14" t="str">
        <f aca="false">IF(B263="","",ROW()-11)</f>
        <v/>
      </c>
      <c r="B263" s="15"/>
      <c r="C263" s="16"/>
      <c r="D263" s="16"/>
      <c r="E263" s="16"/>
      <c r="F263" s="16"/>
      <c r="G263" s="16"/>
      <c r="H263" s="16"/>
      <c r="I263" s="17" t="str">
        <f aca="false">IF(B263="","",SUM(J263:N263))</f>
        <v/>
      </c>
      <c r="J263" s="18"/>
      <c r="K263" s="18"/>
      <c r="L263" s="17" t="str">
        <f aca="false">IF(K263="","",ROUND(K263*$P$4,2))</f>
        <v/>
      </c>
      <c r="M263" s="18"/>
      <c r="N263" s="17" t="str">
        <f aca="false">IF(M263="","",ROUND(M263*$P$5,2))</f>
        <v/>
      </c>
      <c r="O263" s="18"/>
      <c r="P263" s="16"/>
      <c r="Q263" s="18"/>
    </row>
    <row r="264" customFormat="false" ht="15" hidden="false" customHeight="false" outlineLevel="0" collapsed="false">
      <c r="A264" s="14" t="str">
        <f aca="false">IF(B264="","",ROW()-11)</f>
        <v/>
      </c>
      <c r="B264" s="15"/>
      <c r="C264" s="16"/>
      <c r="D264" s="16"/>
      <c r="E264" s="16"/>
      <c r="F264" s="16"/>
      <c r="G264" s="16"/>
      <c r="H264" s="16"/>
      <c r="I264" s="17" t="str">
        <f aca="false">IF(B264="","",SUM(J264:N264))</f>
        <v/>
      </c>
      <c r="J264" s="18"/>
      <c r="K264" s="18"/>
      <c r="L264" s="17" t="str">
        <f aca="false">IF(K264="","",ROUND(K264*$P$4,2))</f>
        <v/>
      </c>
      <c r="M264" s="18"/>
      <c r="N264" s="17" t="str">
        <f aca="false">IF(M264="","",ROUND(M264*$P$5,2))</f>
        <v/>
      </c>
      <c r="O264" s="18"/>
      <c r="P264" s="16"/>
      <c r="Q264" s="18"/>
    </row>
    <row r="265" customFormat="false" ht="15" hidden="false" customHeight="false" outlineLevel="0" collapsed="false">
      <c r="A265" s="14" t="str">
        <f aca="false">IF(B265="","",ROW()-11)</f>
        <v/>
      </c>
      <c r="B265" s="15"/>
      <c r="C265" s="16"/>
      <c r="D265" s="16"/>
      <c r="E265" s="16"/>
      <c r="F265" s="16"/>
      <c r="G265" s="16"/>
      <c r="H265" s="16"/>
      <c r="I265" s="17" t="str">
        <f aca="false">IF(B265="","",SUM(J265:N265))</f>
        <v/>
      </c>
      <c r="J265" s="18"/>
      <c r="K265" s="18"/>
      <c r="L265" s="17" t="str">
        <f aca="false">IF(K265="","",ROUND(K265*$P$4,2))</f>
        <v/>
      </c>
      <c r="M265" s="18"/>
      <c r="N265" s="17" t="str">
        <f aca="false">IF(M265="","",ROUND(M265*$P$5,2))</f>
        <v/>
      </c>
      <c r="O265" s="18"/>
      <c r="P265" s="16"/>
      <c r="Q265" s="18"/>
    </row>
    <row r="266" customFormat="false" ht="15" hidden="false" customHeight="false" outlineLevel="0" collapsed="false">
      <c r="A266" s="14" t="str">
        <f aca="false">IF(B266="","",ROW()-11)</f>
        <v/>
      </c>
      <c r="B266" s="15"/>
      <c r="C266" s="16"/>
      <c r="D266" s="16"/>
      <c r="E266" s="16"/>
      <c r="F266" s="16"/>
      <c r="G266" s="16"/>
      <c r="H266" s="16"/>
      <c r="I266" s="17" t="str">
        <f aca="false">IF(B266="","",SUM(J266:N266))</f>
        <v/>
      </c>
      <c r="J266" s="18"/>
      <c r="K266" s="18"/>
      <c r="L266" s="17" t="str">
        <f aca="false">IF(K266="","",ROUND(K266*$P$4,2))</f>
        <v/>
      </c>
      <c r="M266" s="18"/>
      <c r="N266" s="17" t="str">
        <f aca="false">IF(M266="","",ROUND(M266*$P$5,2))</f>
        <v/>
      </c>
      <c r="O266" s="18"/>
      <c r="P266" s="16"/>
      <c r="Q266" s="18"/>
    </row>
    <row r="267" customFormat="false" ht="15" hidden="false" customHeight="false" outlineLevel="0" collapsed="false">
      <c r="A267" s="14" t="str">
        <f aca="false">IF(B267="","",ROW()-11)</f>
        <v/>
      </c>
      <c r="B267" s="15"/>
      <c r="C267" s="16"/>
      <c r="D267" s="16"/>
      <c r="E267" s="16"/>
      <c r="F267" s="16"/>
      <c r="G267" s="16"/>
      <c r="H267" s="16"/>
      <c r="I267" s="17" t="str">
        <f aca="false">IF(B267="","",SUM(J267:N267))</f>
        <v/>
      </c>
      <c r="J267" s="18"/>
      <c r="K267" s="18"/>
      <c r="L267" s="17" t="str">
        <f aca="false">IF(K267="","",ROUND(K267*$P$4,2))</f>
        <v/>
      </c>
      <c r="M267" s="18"/>
      <c r="N267" s="17" t="str">
        <f aca="false">IF(M267="","",ROUND(M267*$P$5,2))</f>
        <v/>
      </c>
      <c r="O267" s="18"/>
      <c r="P267" s="16"/>
      <c r="Q267" s="18"/>
    </row>
    <row r="268" customFormat="false" ht="15" hidden="false" customHeight="false" outlineLevel="0" collapsed="false">
      <c r="A268" s="14" t="str">
        <f aca="false">IF(B268="","",ROW()-11)</f>
        <v/>
      </c>
      <c r="B268" s="15"/>
      <c r="C268" s="16"/>
      <c r="D268" s="16"/>
      <c r="E268" s="16"/>
      <c r="F268" s="16"/>
      <c r="G268" s="16"/>
      <c r="H268" s="16"/>
      <c r="I268" s="17" t="str">
        <f aca="false">IF(B268="","",SUM(J268:N268))</f>
        <v/>
      </c>
      <c r="J268" s="18"/>
      <c r="K268" s="18"/>
      <c r="L268" s="17" t="str">
        <f aca="false">IF(K268="","",ROUND(K268*$P$4,2))</f>
        <v/>
      </c>
      <c r="M268" s="18"/>
      <c r="N268" s="17" t="str">
        <f aca="false">IF(M268="","",ROUND(M268*$P$5,2))</f>
        <v/>
      </c>
      <c r="O268" s="18"/>
      <c r="P268" s="16"/>
      <c r="Q268" s="18"/>
    </row>
    <row r="269" customFormat="false" ht="15" hidden="false" customHeight="false" outlineLevel="0" collapsed="false">
      <c r="A269" s="14" t="str">
        <f aca="false">IF(B269="","",ROW()-11)</f>
        <v/>
      </c>
      <c r="B269" s="15"/>
      <c r="C269" s="16"/>
      <c r="D269" s="16"/>
      <c r="E269" s="16"/>
      <c r="F269" s="16"/>
      <c r="G269" s="16"/>
      <c r="H269" s="16"/>
      <c r="I269" s="17" t="str">
        <f aca="false">IF(B269="","",SUM(J269:N269))</f>
        <v/>
      </c>
      <c r="J269" s="18"/>
      <c r="K269" s="18"/>
      <c r="L269" s="17" t="str">
        <f aca="false">IF(K269="","",ROUND(K269*$P$4,2))</f>
        <v/>
      </c>
      <c r="M269" s="18"/>
      <c r="N269" s="17" t="str">
        <f aca="false">IF(M269="","",ROUND(M269*$P$5,2))</f>
        <v/>
      </c>
      <c r="O269" s="18"/>
      <c r="P269" s="16"/>
      <c r="Q269" s="18"/>
    </row>
    <row r="270" customFormat="false" ht="15" hidden="false" customHeight="false" outlineLevel="0" collapsed="false">
      <c r="A270" s="14" t="str">
        <f aca="false">IF(B270="","",ROW()-11)</f>
        <v/>
      </c>
      <c r="B270" s="15"/>
      <c r="C270" s="16"/>
      <c r="D270" s="16"/>
      <c r="E270" s="16"/>
      <c r="F270" s="16"/>
      <c r="G270" s="16"/>
      <c r="H270" s="16"/>
      <c r="I270" s="17" t="str">
        <f aca="false">IF(B270="","",SUM(J270:N270))</f>
        <v/>
      </c>
      <c r="J270" s="18"/>
      <c r="K270" s="18"/>
      <c r="L270" s="17" t="str">
        <f aca="false">IF(K270="","",ROUND(K270*$P$4,2))</f>
        <v/>
      </c>
      <c r="M270" s="18"/>
      <c r="N270" s="17" t="str">
        <f aca="false">IF(M270="","",ROUND(M270*$P$5,2))</f>
        <v/>
      </c>
      <c r="O270" s="18"/>
      <c r="P270" s="16"/>
      <c r="Q270" s="18"/>
    </row>
    <row r="271" customFormat="false" ht="15" hidden="false" customHeight="false" outlineLevel="0" collapsed="false">
      <c r="A271" s="14" t="str">
        <f aca="false">IF(B271="","",ROW()-11)</f>
        <v/>
      </c>
      <c r="B271" s="15"/>
      <c r="C271" s="16"/>
      <c r="D271" s="16"/>
      <c r="E271" s="16"/>
      <c r="F271" s="16"/>
      <c r="G271" s="16"/>
      <c r="H271" s="16"/>
      <c r="I271" s="17" t="str">
        <f aca="false">IF(B271="","",SUM(J271:N271))</f>
        <v/>
      </c>
      <c r="J271" s="18"/>
      <c r="K271" s="18"/>
      <c r="L271" s="17" t="str">
        <f aca="false">IF(K271="","",ROUND(K271*$P$4,2))</f>
        <v/>
      </c>
      <c r="M271" s="18"/>
      <c r="N271" s="17" t="str">
        <f aca="false">IF(M271="","",ROUND(M271*$P$5,2))</f>
        <v/>
      </c>
      <c r="O271" s="18"/>
      <c r="P271" s="16"/>
      <c r="Q271" s="18"/>
    </row>
    <row r="272" customFormat="false" ht="15" hidden="false" customHeight="false" outlineLevel="0" collapsed="false">
      <c r="A272" s="14" t="str">
        <f aca="false">IF(B272="","",ROW()-11)</f>
        <v/>
      </c>
      <c r="B272" s="15"/>
      <c r="C272" s="16"/>
      <c r="D272" s="16"/>
      <c r="E272" s="16"/>
      <c r="F272" s="16"/>
      <c r="G272" s="16"/>
      <c r="H272" s="16"/>
      <c r="I272" s="17" t="str">
        <f aca="false">IF(B272="","",SUM(J272:N272))</f>
        <v/>
      </c>
      <c r="J272" s="18"/>
      <c r="K272" s="18"/>
      <c r="L272" s="17" t="str">
        <f aca="false">IF(K272="","",ROUND(K272*$P$4,2))</f>
        <v/>
      </c>
      <c r="M272" s="18"/>
      <c r="N272" s="17" t="str">
        <f aca="false">IF(M272="","",ROUND(M272*$P$5,2))</f>
        <v/>
      </c>
      <c r="O272" s="18"/>
      <c r="P272" s="16"/>
      <c r="Q272" s="18"/>
    </row>
    <row r="273" customFormat="false" ht="15" hidden="false" customHeight="false" outlineLevel="0" collapsed="false">
      <c r="A273" s="14" t="str">
        <f aca="false">IF(B273="","",ROW()-11)</f>
        <v/>
      </c>
      <c r="B273" s="15"/>
      <c r="C273" s="16"/>
      <c r="D273" s="16"/>
      <c r="E273" s="16"/>
      <c r="F273" s="16"/>
      <c r="G273" s="16"/>
      <c r="H273" s="16"/>
      <c r="I273" s="17" t="str">
        <f aca="false">IF(B273="","",SUM(J273:N273))</f>
        <v/>
      </c>
      <c r="J273" s="18"/>
      <c r="K273" s="18"/>
      <c r="L273" s="17" t="str">
        <f aca="false">IF(K273="","",ROUND(K273*$P$4,2))</f>
        <v/>
      </c>
      <c r="M273" s="18"/>
      <c r="N273" s="17" t="str">
        <f aca="false">IF(M273="","",ROUND(M273*$P$5,2))</f>
        <v/>
      </c>
      <c r="O273" s="18"/>
      <c r="P273" s="16"/>
      <c r="Q273" s="18"/>
    </row>
    <row r="274" customFormat="false" ht="15" hidden="false" customHeight="false" outlineLevel="0" collapsed="false">
      <c r="A274" s="14" t="str">
        <f aca="false">IF(B274="","",ROW()-11)</f>
        <v/>
      </c>
      <c r="B274" s="15"/>
      <c r="C274" s="16"/>
      <c r="D274" s="16"/>
      <c r="E274" s="16"/>
      <c r="F274" s="16"/>
      <c r="G274" s="16"/>
      <c r="H274" s="16"/>
      <c r="I274" s="17" t="str">
        <f aca="false">IF(B274="","",SUM(J274:N274))</f>
        <v/>
      </c>
      <c r="J274" s="18"/>
      <c r="K274" s="18"/>
      <c r="L274" s="17" t="str">
        <f aca="false">IF(K274="","",ROUND(K274*$P$4,2))</f>
        <v/>
      </c>
      <c r="M274" s="18"/>
      <c r="N274" s="17" t="str">
        <f aca="false">IF(M274="","",ROUND(M274*$P$5,2))</f>
        <v/>
      </c>
      <c r="O274" s="18"/>
      <c r="P274" s="16"/>
      <c r="Q274" s="18"/>
    </row>
    <row r="275" customFormat="false" ht="15" hidden="false" customHeight="false" outlineLevel="0" collapsed="false">
      <c r="A275" s="14" t="str">
        <f aca="false">IF(B275="","",ROW()-11)</f>
        <v/>
      </c>
      <c r="B275" s="15"/>
      <c r="C275" s="16"/>
      <c r="D275" s="16"/>
      <c r="E275" s="16"/>
      <c r="F275" s="16"/>
      <c r="G275" s="16"/>
      <c r="H275" s="16"/>
      <c r="I275" s="17" t="str">
        <f aca="false">IF(B275="","",SUM(J275:N275))</f>
        <v/>
      </c>
      <c r="J275" s="18"/>
      <c r="K275" s="18"/>
      <c r="L275" s="17" t="str">
        <f aca="false">IF(K275="","",ROUND(K275*$P$4,2))</f>
        <v/>
      </c>
      <c r="M275" s="18"/>
      <c r="N275" s="17" t="str">
        <f aca="false">IF(M275="","",ROUND(M275*$P$5,2))</f>
        <v/>
      </c>
      <c r="O275" s="18"/>
      <c r="P275" s="16"/>
      <c r="Q275" s="18"/>
    </row>
    <row r="276" customFormat="false" ht="15" hidden="false" customHeight="false" outlineLevel="0" collapsed="false">
      <c r="A276" s="14" t="str">
        <f aca="false">IF(B276="","",ROW()-11)</f>
        <v/>
      </c>
      <c r="B276" s="15"/>
      <c r="C276" s="16"/>
      <c r="D276" s="16"/>
      <c r="E276" s="16"/>
      <c r="F276" s="16"/>
      <c r="G276" s="16"/>
      <c r="H276" s="16"/>
      <c r="I276" s="17" t="str">
        <f aca="false">IF(B276="","",SUM(J276:N276))</f>
        <v/>
      </c>
      <c r="J276" s="18"/>
      <c r="K276" s="18"/>
      <c r="L276" s="17" t="str">
        <f aca="false">IF(K276="","",ROUND(K276*$P$4,2))</f>
        <v/>
      </c>
      <c r="M276" s="18"/>
      <c r="N276" s="17" t="str">
        <f aca="false">IF(M276="","",ROUND(M276*$P$5,2))</f>
        <v/>
      </c>
      <c r="O276" s="18"/>
      <c r="P276" s="16"/>
      <c r="Q276" s="18"/>
    </row>
    <row r="277" customFormat="false" ht="15" hidden="false" customHeight="false" outlineLevel="0" collapsed="false">
      <c r="A277" s="14" t="str">
        <f aca="false">IF(B277="","",ROW()-11)</f>
        <v/>
      </c>
      <c r="B277" s="15"/>
      <c r="C277" s="16"/>
      <c r="D277" s="16"/>
      <c r="E277" s="16"/>
      <c r="F277" s="16"/>
      <c r="G277" s="16"/>
      <c r="H277" s="16"/>
      <c r="I277" s="17" t="str">
        <f aca="false">IF(B277="","",SUM(J277:N277))</f>
        <v/>
      </c>
      <c r="J277" s="18"/>
      <c r="K277" s="18"/>
      <c r="L277" s="17" t="str">
        <f aca="false">IF(K277="","",ROUND(K277*$P$4,2))</f>
        <v/>
      </c>
      <c r="M277" s="18"/>
      <c r="N277" s="17" t="str">
        <f aca="false">IF(M277="","",ROUND(M277*$P$5,2))</f>
        <v/>
      </c>
      <c r="O277" s="18"/>
      <c r="P277" s="16"/>
      <c r="Q277" s="18"/>
    </row>
    <row r="278" customFormat="false" ht="15" hidden="false" customHeight="false" outlineLevel="0" collapsed="false">
      <c r="A278" s="14" t="str">
        <f aca="false">IF(B278="","",ROW()-11)</f>
        <v/>
      </c>
      <c r="B278" s="15"/>
      <c r="C278" s="16"/>
      <c r="D278" s="16"/>
      <c r="E278" s="16"/>
      <c r="F278" s="16"/>
      <c r="G278" s="16"/>
      <c r="H278" s="16"/>
      <c r="I278" s="17" t="str">
        <f aca="false">IF(B278="","",SUM(J278:N278))</f>
        <v/>
      </c>
      <c r="J278" s="18"/>
      <c r="K278" s="18"/>
      <c r="L278" s="17" t="str">
        <f aca="false">IF(K278="","",ROUND(K278*$P$4,2))</f>
        <v/>
      </c>
      <c r="M278" s="18"/>
      <c r="N278" s="17" t="str">
        <f aca="false">IF(M278="","",ROUND(M278*$P$5,2))</f>
        <v/>
      </c>
      <c r="O278" s="18"/>
      <c r="P278" s="16"/>
      <c r="Q278" s="18"/>
    </row>
    <row r="279" customFormat="false" ht="15" hidden="false" customHeight="false" outlineLevel="0" collapsed="false">
      <c r="A279" s="14" t="str">
        <f aca="false">IF(B279="","",ROW()-11)</f>
        <v/>
      </c>
      <c r="B279" s="15"/>
      <c r="C279" s="16"/>
      <c r="D279" s="16"/>
      <c r="E279" s="16"/>
      <c r="F279" s="16"/>
      <c r="G279" s="16"/>
      <c r="H279" s="16"/>
      <c r="I279" s="17" t="str">
        <f aca="false">IF(B279="","",SUM(J279:N279))</f>
        <v/>
      </c>
      <c r="J279" s="18"/>
      <c r="K279" s="18"/>
      <c r="L279" s="17" t="str">
        <f aca="false">IF(K279="","",ROUND(K279*$P$4,2))</f>
        <v/>
      </c>
      <c r="M279" s="18"/>
      <c r="N279" s="17" t="str">
        <f aca="false">IF(M279="","",ROUND(M279*$P$5,2))</f>
        <v/>
      </c>
      <c r="O279" s="18"/>
      <c r="P279" s="16"/>
      <c r="Q279" s="18"/>
    </row>
    <row r="280" customFormat="false" ht="15" hidden="false" customHeight="false" outlineLevel="0" collapsed="false">
      <c r="A280" s="14" t="str">
        <f aca="false">IF(B280="","",ROW()-11)</f>
        <v/>
      </c>
      <c r="B280" s="15"/>
      <c r="C280" s="16"/>
      <c r="D280" s="16"/>
      <c r="E280" s="16"/>
      <c r="F280" s="16"/>
      <c r="G280" s="16"/>
      <c r="H280" s="16"/>
      <c r="I280" s="17" t="str">
        <f aca="false">IF(B280="","",SUM(J280:N280))</f>
        <v/>
      </c>
      <c r="J280" s="18"/>
      <c r="K280" s="18"/>
      <c r="L280" s="17" t="str">
        <f aca="false">IF(K280="","",ROUND(K280*$P$4,2))</f>
        <v/>
      </c>
      <c r="M280" s="18"/>
      <c r="N280" s="17" t="str">
        <f aca="false">IF(M280="","",ROUND(M280*$P$5,2))</f>
        <v/>
      </c>
      <c r="O280" s="18"/>
      <c r="P280" s="16"/>
      <c r="Q280" s="18"/>
    </row>
    <row r="281" customFormat="false" ht="15" hidden="false" customHeight="false" outlineLevel="0" collapsed="false">
      <c r="A281" s="14" t="str">
        <f aca="false">IF(B281="","",ROW()-11)</f>
        <v/>
      </c>
      <c r="B281" s="15"/>
      <c r="C281" s="16"/>
      <c r="D281" s="16"/>
      <c r="E281" s="16"/>
      <c r="F281" s="16"/>
      <c r="G281" s="16"/>
      <c r="H281" s="16"/>
      <c r="I281" s="17" t="str">
        <f aca="false">IF(B281="","",SUM(J281:N281))</f>
        <v/>
      </c>
      <c r="J281" s="18"/>
      <c r="K281" s="18"/>
      <c r="L281" s="17" t="str">
        <f aca="false">IF(K281="","",ROUND(K281*$P$4,2))</f>
        <v/>
      </c>
      <c r="M281" s="18"/>
      <c r="N281" s="17" t="str">
        <f aca="false">IF(M281="","",ROUND(M281*$P$5,2))</f>
        <v/>
      </c>
      <c r="O281" s="18"/>
      <c r="P281" s="16"/>
      <c r="Q281" s="18"/>
    </row>
    <row r="282" customFormat="false" ht="15" hidden="false" customHeight="false" outlineLevel="0" collapsed="false">
      <c r="A282" s="14" t="str">
        <f aca="false">IF(B282="","",ROW()-11)</f>
        <v/>
      </c>
      <c r="B282" s="15"/>
      <c r="C282" s="16"/>
      <c r="D282" s="16"/>
      <c r="E282" s="16"/>
      <c r="F282" s="16"/>
      <c r="G282" s="16"/>
      <c r="H282" s="16"/>
      <c r="I282" s="17" t="str">
        <f aca="false">IF(B282="","",SUM(J282:N282))</f>
        <v/>
      </c>
      <c r="J282" s="18"/>
      <c r="K282" s="18"/>
      <c r="L282" s="17" t="str">
        <f aca="false">IF(K282="","",ROUND(K282*$P$4,2))</f>
        <v/>
      </c>
      <c r="M282" s="18"/>
      <c r="N282" s="17" t="str">
        <f aca="false">IF(M282="","",ROUND(M282*$P$5,2))</f>
        <v/>
      </c>
      <c r="O282" s="18"/>
      <c r="P282" s="16"/>
      <c r="Q282" s="18"/>
    </row>
    <row r="283" customFormat="false" ht="15" hidden="false" customHeight="false" outlineLevel="0" collapsed="false">
      <c r="A283" s="14" t="str">
        <f aca="false">IF(B283="","",ROW()-11)</f>
        <v/>
      </c>
      <c r="B283" s="15"/>
      <c r="C283" s="16"/>
      <c r="D283" s="16"/>
      <c r="E283" s="16"/>
      <c r="F283" s="16"/>
      <c r="G283" s="16"/>
      <c r="H283" s="16"/>
      <c r="I283" s="17" t="str">
        <f aca="false">IF(B283="","",SUM(J283:N283))</f>
        <v/>
      </c>
      <c r="J283" s="18"/>
      <c r="K283" s="18"/>
      <c r="L283" s="17" t="str">
        <f aca="false">IF(K283="","",ROUND(K283*$P$4,2))</f>
        <v/>
      </c>
      <c r="M283" s="18"/>
      <c r="N283" s="17" t="str">
        <f aca="false">IF(M283="","",ROUND(M283*$P$5,2))</f>
        <v/>
      </c>
      <c r="O283" s="18"/>
      <c r="P283" s="16"/>
      <c r="Q283" s="18"/>
    </row>
    <row r="284" customFormat="false" ht="15" hidden="false" customHeight="false" outlineLevel="0" collapsed="false">
      <c r="A284" s="14" t="str">
        <f aca="false">IF(B284="","",ROW()-11)</f>
        <v/>
      </c>
      <c r="B284" s="15"/>
      <c r="C284" s="16"/>
      <c r="D284" s="16"/>
      <c r="E284" s="16"/>
      <c r="F284" s="16"/>
      <c r="G284" s="16"/>
      <c r="H284" s="16"/>
      <c r="I284" s="17" t="str">
        <f aca="false">IF(B284="","",SUM(J284:N284))</f>
        <v/>
      </c>
      <c r="J284" s="18"/>
      <c r="K284" s="18"/>
      <c r="L284" s="17" t="str">
        <f aca="false">IF(K284="","",ROUND(K284*$P$4,2))</f>
        <v/>
      </c>
      <c r="M284" s="18"/>
      <c r="N284" s="17" t="str">
        <f aca="false">IF(M284="","",ROUND(M284*$P$5,2))</f>
        <v/>
      </c>
      <c r="O284" s="18"/>
      <c r="P284" s="16"/>
      <c r="Q284" s="18"/>
    </row>
    <row r="285" customFormat="false" ht="15" hidden="false" customHeight="false" outlineLevel="0" collapsed="false">
      <c r="A285" s="14" t="str">
        <f aca="false">IF(B285="","",ROW()-11)</f>
        <v/>
      </c>
      <c r="B285" s="15"/>
      <c r="C285" s="16"/>
      <c r="D285" s="16"/>
      <c r="E285" s="16"/>
      <c r="F285" s="16"/>
      <c r="G285" s="16"/>
      <c r="H285" s="16"/>
      <c r="I285" s="17" t="str">
        <f aca="false">IF(B285="","",SUM(J285:N285))</f>
        <v/>
      </c>
      <c r="J285" s="18"/>
      <c r="K285" s="18"/>
      <c r="L285" s="17" t="str">
        <f aca="false">IF(K285="","",ROUND(K285*$P$4,2))</f>
        <v/>
      </c>
      <c r="M285" s="18"/>
      <c r="N285" s="17" t="str">
        <f aca="false">IF(M285="","",ROUND(M285*$P$5,2))</f>
        <v/>
      </c>
      <c r="O285" s="18"/>
      <c r="P285" s="16"/>
      <c r="Q285" s="18"/>
    </row>
    <row r="286" customFormat="false" ht="15" hidden="false" customHeight="false" outlineLevel="0" collapsed="false">
      <c r="A286" s="14" t="str">
        <f aca="false">IF(B286="","",ROW()-11)</f>
        <v/>
      </c>
      <c r="B286" s="15"/>
      <c r="C286" s="16"/>
      <c r="D286" s="16"/>
      <c r="E286" s="16"/>
      <c r="F286" s="16"/>
      <c r="G286" s="16"/>
      <c r="H286" s="16"/>
      <c r="I286" s="17" t="str">
        <f aca="false">IF(B286="","",SUM(J286:N286))</f>
        <v/>
      </c>
      <c r="J286" s="18"/>
      <c r="K286" s="18"/>
      <c r="L286" s="17" t="str">
        <f aca="false">IF(K286="","",ROUND(K286*$P$4,2))</f>
        <v/>
      </c>
      <c r="M286" s="18"/>
      <c r="N286" s="17" t="str">
        <f aca="false">IF(M286="","",ROUND(M286*$P$5,2))</f>
        <v/>
      </c>
      <c r="O286" s="18"/>
      <c r="P286" s="16"/>
      <c r="Q286" s="18"/>
    </row>
    <row r="287" customFormat="false" ht="15" hidden="false" customHeight="false" outlineLevel="0" collapsed="false">
      <c r="A287" s="14" t="str">
        <f aca="false">IF(B287="","",ROW()-11)</f>
        <v/>
      </c>
      <c r="B287" s="15"/>
      <c r="C287" s="16"/>
      <c r="D287" s="16"/>
      <c r="E287" s="16"/>
      <c r="F287" s="16"/>
      <c r="G287" s="16"/>
      <c r="H287" s="16"/>
      <c r="I287" s="17" t="str">
        <f aca="false">IF(B287="","",SUM(J287:N287))</f>
        <v/>
      </c>
      <c r="J287" s="18"/>
      <c r="K287" s="18"/>
      <c r="L287" s="17" t="str">
        <f aca="false">IF(K287="","",ROUND(K287*$P$4,2))</f>
        <v/>
      </c>
      <c r="M287" s="18"/>
      <c r="N287" s="17" t="str">
        <f aca="false">IF(M287="","",ROUND(M287*$P$5,2))</f>
        <v/>
      </c>
      <c r="O287" s="18"/>
      <c r="P287" s="16"/>
      <c r="Q287" s="18"/>
    </row>
    <row r="288" customFormat="false" ht="15" hidden="false" customHeight="false" outlineLevel="0" collapsed="false">
      <c r="A288" s="14" t="str">
        <f aca="false">IF(B288="","",ROW()-11)</f>
        <v/>
      </c>
      <c r="B288" s="15"/>
      <c r="C288" s="16"/>
      <c r="D288" s="16"/>
      <c r="E288" s="16"/>
      <c r="F288" s="16"/>
      <c r="G288" s="16"/>
      <c r="H288" s="16"/>
      <c r="I288" s="17" t="str">
        <f aca="false">IF(B288="","",SUM(J288:N288))</f>
        <v/>
      </c>
      <c r="J288" s="18"/>
      <c r="K288" s="18"/>
      <c r="L288" s="17" t="str">
        <f aca="false">IF(K288="","",ROUND(K288*$P$4,2))</f>
        <v/>
      </c>
      <c r="M288" s="18"/>
      <c r="N288" s="17" t="str">
        <f aca="false">IF(M288="","",ROUND(M288*$P$5,2))</f>
        <v/>
      </c>
      <c r="O288" s="18"/>
      <c r="P288" s="16"/>
      <c r="Q288" s="18"/>
    </row>
    <row r="289" customFormat="false" ht="15" hidden="false" customHeight="false" outlineLevel="0" collapsed="false">
      <c r="A289" s="14" t="str">
        <f aca="false">IF(B289="","",ROW()-11)</f>
        <v/>
      </c>
      <c r="B289" s="15"/>
      <c r="C289" s="16"/>
      <c r="D289" s="16"/>
      <c r="E289" s="16"/>
      <c r="F289" s="16"/>
      <c r="G289" s="16"/>
      <c r="H289" s="16"/>
      <c r="I289" s="17" t="str">
        <f aca="false">IF(B289="","",SUM(J289:N289))</f>
        <v/>
      </c>
      <c r="J289" s="18"/>
      <c r="K289" s="18"/>
      <c r="L289" s="17" t="str">
        <f aca="false">IF(K289="","",ROUND(K289*$P$4,2))</f>
        <v/>
      </c>
      <c r="M289" s="18"/>
      <c r="N289" s="17" t="str">
        <f aca="false">IF(M289="","",ROUND(M289*$P$5,2))</f>
        <v/>
      </c>
      <c r="O289" s="18"/>
      <c r="P289" s="16"/>
      <c r="Q289" s="18"/>
    </row>
    <row r="290" customFormat="false" ht="15" hidden="false" customHeight="false" outlineLevel="0" collapsed="false">
      <c r="A290" s="14" t="str">
        <f aca="false">IF(B290="","",ROW()-11)</f>
        <v/>
      </c>
      <c r="B290" s="15"/>
      <c r="C290" s="16"/>
      <c r="D290" s="16"/>
      <c r="E290" s="16"/>
      <c r="F290" s="16"/>
      <c r="G290" s="16"/>
      <c r="H290" s="16"/>
      <c r="I290" s="17" t="str">
        <f aca="false">IF(B290="","",SUM(J290:N290))</f>
        <v/>
      </c>
      <c r="J290" s="18"/>
      <c r="K290" s="18"/>
      <c r="L290" s="17" t="str">
        <f aca="false">IF(K290="","",ROUND(K290*$P$4,2))</f>
        <v/>
      </c>
      <c r="M290" s="18"/>
      <c r="N290" s="17" t="str">
        <f aca="false">IF(M290="","",ROUND(M290*$P$5,2))</f>
        <v/>
      </c>
      <c r="O290" s="18"/>
      <c r="P290" s="16"/>
      <c r="Q290" s="18"/>
    </row>
    <row r="291" customFormat="false" ht="15" hidden="false" customHeight="false" outlineLevel="0" collapsed="false">
      <c r="A291" s="14" t="str">
        <f aca="false">IF(B291="","",ROW()-11)</f>
        <v/>
      </c>
      <c r="B291" s="15"/>
      <c r="C291" s="16"/>
      <c r="D291" s="16"/>
      <c r="E291" s="16"/>
      <c r="F291" s="16"/>
      <c r="G291" s="16"/>
      <c r="H291" s="16"/>
      <c r="I291" s="17" t="str">
        <f aca="false">IF(B291="","",SUM(J291:N291))</f>
        <v/>
      </c>
      <c r="J291" s="18"/>
      <c r="K291" s="18"/>
      <c r="L291" s="17" t="str">
        <f aca="false">IF(K291="","",ROUND(K291*$P$4,2))</f>
        <v/>
      </c>
      <c r="M291" s="18"/>
      <c r="N291" s="17" t="str">
        <f aca="false">IF(M291="","",ROUND(M291*$P$5,2))</f>
        <v/>
      </c>
      <c r="O291" s="18"/>
      <c r="P291" s="16"/>
      <c r="Q291" s="18"/>
    </row>
    <row r="292" customFormat="false" ht="15" hidden="false" customHeight="false" outlineLevel="0" collapsed="false">
      <c r="A292" s="14" t="str">
        <f aca="false">IF(B292="","",ROW()-11)</f>
        <v/>
      </c>
      <c r="B292" s="15"/>
      <c r="C292" s="16"/>
      <c r="D292" s="16"/>
      <c r="E292" s="16"/>
      <c r="F292" s="16"/>
      <c r="G292" s="16"/>
      <c r="H292" s="16"/>
      <c r="I292" s="17" t="str">
        <f aca="false">IF(B292="","",SUM(J292:N292))</f>
        <v/>
      </c>
      <c r="J292" s="18"/>
      <c r="K292" s="18"/>
      <c r="L292" s="17" t="str">
        <f aca="false">IF(K292="","",ROUND(K292*$P$4,2))</f>
        <v/>
      </c>
      <c r="M292" s="18"/>
      <c r="N292" s="17" t="str">
        <f aca="false">IF(M292="","",ROUND(M292*$P$5,2))</f>
        <v/>
      </c>
      <c r="O292" s="18"/>
      <c r="P292" s="16"/>
      <c r="Q292" s="18"/>
    </row>
    <row r="293" customFormat="false" ht="15" hidden="false" customHeight="false" outlineLevel="0" collapsed="false">
      <c r="A293" s="14" t="str">
        <f aca="false">IF(B293="","",ROW()-11)</f>
        <v/>
      </c>
      <c r="B293" s="15"/>
      <c r="C293" s="16"/>
      <c r="D293" s="16"/>
      <c r="E293" s="16"/>
      <c r="F293" s="16"/>
      <c r="G293" s="16"/>
      <c r="H293" s="16"/>
      <c r="I293" s="17" t="str">
        <f aca="false">IF(B293="","",SUM(J293:N293))</f>
        <v/>
      </c>
      <c r="J293" s="18"/>
      <c r="K293" s="18"/>
      <c r="L293" s="17" t="str">
        <f aca="false">IF(K293="","",ROUND(K293*$P$4,2))</f>
        <v/>
      </c>
      <c r="M293" s="18"/>
      <c r="N293" s="17" t="str">
        <f aca="false">IF(M293="","",ROUND(M293*$P$5,2))</f>
        <v/>
      </c>
      <c r="O293" s="18"/>
      <c r="P293" s="16"/>
      <c r="Q293" s="18"/>
    </row>
    <row r="294" customFormat="false" ht="15" hidden="false" customHeight="false" outlineLevel="0" collapsed="false">
      <c r="A294" s="14" t="str">
        <f aca="false">IF(B294="","",ROW()-11)</f>
        <v/>
      </c>
      <c r="B294" s="15"/>
      <c r="C294" s="16"/>
      <c r="D294" s="16"/>
      <c r="E294" s="16"/>
      <c r="F294" s="16"/>
      <c r="G294" s="16"/>
      <c r="H294" s="16"/>
      <c r="I294" s="17" t="str">
        <f aca="false">IF(B294="","",SUM(J294:N294))</f>
        <v/>
      </c>
      <c r="J294" s="18"/>
      <c r="K294" s="18"/>
      <c r="L294" s="17" t="str">
        <f aca="false">IF(K294="","",ROUND(K294*$P$4,2))</f>
        <v/>
      </c>
      <c r="M294" s="18"/>
      <c r="N294" s="17" t="str">
        <f aca="false">IF(M294="","",ROUND(M294*$P$5,2))</f>
        <v/>
      </c>
      <c r="O294" s="18"/>
      <c r="P294" s="16"/>
      <c r="Q294" s="18"/>
    </row>
    <row r="295" customFormat="false" ht="15" hidden="false" customHeight="false" outlineLevel="0" collapsed="false">
      <c r="A295" s="14" t="str">
        <f aca="false">IF(B295="","",ROW()-11)</f>
        <v/>
      </c>
      <c r="B295" s="15"/>
      <c r="C295" s="16"/>
      <c r="D295" s="16"/>
      <c r="E295" s="16"/>
      <c r="F295" s="16"/>
      <c r="G295" s="16"/>
      <c r="H295" s="16"/>
      <c r="I295" s="17" t="str">
        <f aca="false">IF(B295="","",SUM(J295:N295))</f>
        <v/>
      </c>
      <c r="J295" s="18"/>
      <c r="K295" s="18"/>
      <c r="L295" s="17" t="str">
        <f aca="false">IF(K295="","",ROUND(K295*$P$4,2))</f>
        <v/>
      </c>
      <c r="M295" s="18"/>
      <c r="N295" s="17" t="str">
        <f aca="false">IF(M295="","",ROUND(M295*$P$5,2))</f>
        <v/>
      </c>
      <c r="O295" s="18"/>
      <c r="P295" s="16"/>
      <c r="Q295" s="18"/>
    </row>
    <row r="296" customFormat="false" ht="15" hidden="false" customHeight="false" outlineLevel="0" collapsed="false">
      <c r="A296" s="14" t="str">
        <f aca="false">IF(B296="","",ROW()-11)</f>
        <v/>
      </c>
      <c r="B296" s="15"/>
      <c r="C296" s="16"/>
      <c r="D296" s="16"/>
      <c r="E296" s="16"/>
      <c r="F296" s="16"/>
      <c r="G296" s="16"/>
      <c r="H296" s="16"/>
      <c r="I296" s="17" t="str">
        <f aca="false">IF(B296="","",SUM(J296:N296))</f>
        <v/>
      </c>
      <c r="J296" s="18"/>
      <c r="K296" s="18"/>
      <c r="L296" s="17" t="str">
        <f aca="false">IF(K296="","",ROUND(K296*$P$4,2))</f>
        <v/>
      </c>
      <c r="M296" s="18"/>
      <c r="N296" s="17" t="str">
        <f aca="false">IF(M296="","",ROUND(M296*$P$5,2))</f>
        <v/>
      </c>
      <c r="O296" s="18"/>
      <c r="P296" s="16"/>
      <c r="Q296" s="18"/>
    </row>
    <row r="297" customFormat="false" ht="15" hidden="false" customHeight="false" outlineLevel="0" collapsed="false">
      <c r="A297" s="14" t="str">
        <f aca="false">IF(B297="","",ROW()-11)</f>
        <v/>
      </c>
      <c r="B297" s="15"/>
      <c r="C297" s="16"/>
      <c r="D297" s="16"/>
      <c r="E297" s="16"/>
      <c r="F297" s="16"/>
      <c r="G297" s="16"/>
      <c r="H297" s="16"/>
      <c r="I297" s="17" t="str">
        <f aca="false">IF(B297="","",SUM(J297:N297))</f>
        <v/>
      </c>
      <c r="J297" s="18"/>
      <c r="K297" s="18"/>
      <c r="L297" s="17" t="str">
        <f aca="false">IF(K297="","",ROUND(K297*$P$4,2))</f>
        <v/>
      </c>
      <c r="M297" s="18"/>
      <c r="N297" s="17" t="str">
        <f aca="false">IF(M297="","",ROUND(M297*$P$5,2))</f>
        <v/>
      </c>
      <c r="O297" s="18"/>
      <c r="P297" s="16"/>
      <c r="Q297" s="18"/>
    </row>
    <row r="298" customFormat="false" ht="15" hidden="false" customHeight="false" outlineLevel="0" collapsed="false">
      <c r="A298" s="14" t="str">
        <f aca="false">IF(B298="","",ROW()-11)</f>
        <v/>
      </c>
      <c r="B298" s="15"/>
      <c r="C298" s="16"/>
      <c r="D298" s="16"/>
      <c r="E298" s="16"/>
      <c r="F298" s="16"/>
      <c r="G298" s="16"/>
      <c r="H298" s="16"/>
      <c r="I298" s="17" t="str">
        <f aca="false">IF(B298="","",SUM(J298:N298))</f>
        <v/>
      </c>
      <c r="J298" s="18"/>
      <c r="K298" s="18"/>
      <c r="L298" s="17" t="str">
        <f aca="false">IF(K298="","",ROUND(K298*$P$4,2))</f>
        <v/>
      </c>
      <c r="M298" s="18"/>
      <c r="N298" s="17" t="str">
        <f aca="false">IF(M298="","",ROUND(M298*$P$5,2))</f>
        <v/>
      </c>
      <c r="O298" s="18"/>
      <c r="P298" s="16"/>
      <c r="Q298" s="18"/>
    </row>
    <row r="299" customFormat="false" ht="15" hidden="false" customHeight="false" outlineLevel="0" collapsed="false">
      <c r="A299" s="14" t="str">
        <f aca="false">IF(B299="","",ROW()-11)</f>
        <v/>
      </c>
      <c r="B299" s="15"/>
      <c r="C299" s="16"/>
      <c r="D299" s="16"/>
      <c r="E299" s="16"/>
      <c r="F299" s="16"/>
      <c r="G299" s="16"/>
      <c r="H299" s="16"/>
      <c r="I299" s="17" t="str">
        <f aca="false">IF(B299="","",SUM(J299:N299))</f>
        <v/>
      </c>
      <c r="J299" s="18"/>
      <c r="K299" s="18"/>
      <c r="L299" s="17" t="str">
        <f aca="false">IF(K299="","",ROUND(K299*$P$4,2))</f>
        <v/>
      </c>
      <c r="M299" s="18"/>
      <c r="N299" s="17" t="str">
        <f aca="false">IF(M299="","",ROUND(M299*$P$5,2))</f>
        <v/>
      </c>
      <c r="O299" s="18"/>
      <c r="P299" s="16"/>
      <c r="Q299" s="18"/>
    </row>
    <row r="300" customFormat="false" ht="15" hidden="false" customHeight="false" outlineLevel="0" collapsed="false">
      <c r="A300" s="14" t="str">
        <f aca="false">IF(B300="","",ROW()-11)</f>
        <v/>
      </c>
      <c r="B300" s="15"/>
      <c r="C300" s="16"/>
      <c r="D300" s="16"/>
      <c r="E300" s="16"/>
      <c r="F300" s="16"/>
      <c r="G300" s="16"/>
      <c r="H300" s="16"/>
      <c r="I300" s="17" t="str">
        <f aca="false">IF(B300="","",SUM(J300:N300))</f>
        <v/>
      </c>
      <c r="J300" s="18"/>
      <c r="K300" s="18"/>
      <c r="L300" s="17" t="str">
        <f aca="false">IF(K300="","",ROUND(K300*$P$4,2))</f>
        <v/>
      </c>
      <c r="M300" s="18"/>
      <c r="N300" s="17" t="str">
        <f aca="false">IF(M300="","",ROUND(M300*$P$5,2))</f>
        <v/>
      </c>
      <c r="O300" s="18"/>
      <c r="P300" s="16"/>
      <c r="Q300" s="18"/>
    </row>
    <row r="301" customFormat="false" ht="15" hidden="false" customHeight="false" outlineLevel="0" collapsed="false">
      <c r="A301" s="14" t="str">
        <f aca="false">IF(B301="","",ROW()-11)</f>
        <v/>
      </c>
      <c r="B301" s="15"/>
      <c r="C301" s="16"/>
      <c r="D301" s="16"/>
      <c r="E301" s="16"/>
      <c r="F301" s="16"/>
      <c r="G301" s="16"/>
      <c r="H301" s="16"/>
      <c r="I301" s="17" t="str">
        <f aca="false">IF(B301="","",SUM(J301:N301))</f>
        <v/>
      </c>
      <c r="J301" s="18"/>
      <c r="K301" s="18"/>
      <c r="L301" s="17" t="str">
        <f aca="false">IF(K301="","",ROUND(K301*$P$4,2))</f>
        <v/>
      </c>
      <c r="M301" s="18"/>
      <c r="N301" s="17" t="str">
        <f aca="false">IF(M301="","",ROUND(M301*$P$5,2))</f>
        <v/>
      </c>
      <c r="O301" s="18"/>
      <c r="P301" s="16"/>
      <c r="Q301" s="18"/>
    </row>
    <row r="302" customFormat="false" ht="15" hidden="false" customHeight="false" outlineLevel="0" collapsed="false">
      <c r="A302" s="14" t="str">
        <f aca="false">IF(B302="","",ROW()-11)</f>
        <v/>
      </c>
      <c r="B302" s="15"/>
      <c r="C302" s="16"/>
      <c r="D302" s="16"/>
      <c r="E302" s="16"/>
      <c r="F302" s="16"/>
      <c r="G302" s="16"/>
      <c r="H302" s="16"/>
      <c r="I302" s="17" t="str">
        <f aca="false">IF(B302="","",SUM(J302:N302))</f>
        <v/>
      </c>
      <c r="J302" s="18"/>
      <c r="K302" s="18"/>
      <c r="L302" s="17" t="str">
        <f aca="false">IF(K302="","",ROUND(K302*$P$4,2))</f>
        <v/>
      </c>
      <c r="M302" s="18"/>
      <c r="N302" s="17" t="str">
        <f aca="false">IF(M302="","",ROUND(M302*$P$5,2))</f>
        <v/>
      </c>
      <c r="O302" s="18"/>
      <c r="P302" s="16"/>
      <c r="Q302" s="18"/>
    </row>
    <row r="303" customFormat="false" ht="15" hidden="false" customHeight="false" outlineLevel="0" collapsed="false">
      <c r="A303" s="14" t="str">
        <f aca="false">IF(B303="","",ROW()-11)</f>
        <v/>
      </c>
      <c r="B303" s="15"/>
      <c r="C303" s="16"/>
      <c r="D303" s="16"/>
      <c r="E303" s="16"/>
      <c r="F303" s="16"/>
      <c r="G303" s="16"/>
      <c r="H303" s="16"/>
      <c r="I303" s="17" t="str">
        <f aca="false">IF(B303="","",SUM(J303:N303))</f>
        <v/>
      </c>
      <c r="J303" s="18"/>
      <c r="K303" s="18"/>
      <c r="L303" s="17" t="str">
        <f aca="false">IF(K303="","",ROUND(K303*$P$4,2))</f>
        <v/>
      </c>
      <c r="M303" s="18"/>
      <c r="N303" s="17" t="str">
        <f aca="false">IF(M303="","",ROUND(M303*$P$5,2))</f>
        <v/>
      </c>
      <c r="O303" s="18"/>
      <c r="P303" s="16"/>
      <c r="Q303" s="18"/>
    </row>
    <row r="304" customFormat="false" ht="15" hidden="false" customHeight="false" outlineLevel="0" collapsed="false">
      <c r="A304" s="14" t="str">
        <f aca="false">IF(B304="","",ROW()-11)</f>
        <v/>
      </c>
      <c r="B304" s="15"/>
      <c r="C304" s="16"/>
      <c r="D304" s="16"/>
      <c r="E304" s="16"/>
      <c r="F304" s="16"/>
      <c r="G304" s="16"/>
      <c r="H304" s="16"/>
      <c r="I304" s="17" t="str">
        <f aca="false">IF(B304="","",SUM(J304:N304))</f>
        <v/>
      </c>
      <c r="J304" s="18"/>
      <c r="K304" s="18"/>
      <c r="L304" s="17" t="str">
        <f aca="false">IF(K304="","",ROUND(K304*$P$4,2))</f>
        <v/>
      </c>
      <c r="M304" s="18"/>
      <c r="N304" s="17" t="str">
        <f aca="false">IF(M304="","",ROUND(M304*$P$5,2))</f>
        <v/>
      </c>
      <c r="O304" s="18"/>
      <c r="P304" s="16"/>
      <c r="Q304" s="18"/>
    </row>
    <row r="305" customFormat="false" ht="15" hidden="false" customHeight="false" outlineLevel="0" collapsed="false">
      <c r="A305" s="14" t="str">
        <f aca="false">IF(B305="","",ROW()-11)</f>
        <v/>
      </c>
      <c r="B305" s="15"/>
      <c r="C305" s="16"/>
      <c r="D305" s="16"/>
      <c r="E305" s="16"/>
      <c r="F305" s="16"/>
      <c r="G305" s="16"/>
      <c r="H305" s="16"/>
      <c r="I305" s="17" t="str">
        <f aca="false">IF(B305="","",SUM(J305:N305))</f>
        <v/>
      </c>
      <c r="J305" s="18"/>
      <c r="K305" s="18"/>
      <c r="L305" s="17" t="str">
        <f aca="false">IF(K305="","",ROUND(K305*$P$4,2))</f>
        <v/>
      </c>
      <c r="M305" s="18"/>
      <c r="N305" s="17" t="str">
        <f aca="false">IF(M305="","",ROUND(M305*$P$5,2))</f>
        <v/>
      </c>
      <c r="O305" s="18"/>
      <c r="P305" s="16"/>
      <c r="Q305" s="18"/>
    </row>
    <row r="306" customFormat="false" ht="15" hidden="false" customHeight="false" outlineLevel="0" collapsed="false">
      <c r="A306" s="14" t="str">
        <f aca="false">IF(B306="","",ROW()-11)</f>
        <v/>
      </c>
      <c r="B306" s="15"/>
      <c r="C306" s="16"/>
      <c r="D306" s="16"/>
      <c r="E306" s="16"/>
      <c r="F306" s="16"/>
      <c r="G306" s="16"/>
      <c r="H306" s="16"/>
      <c r="I306" s="17" t="str">
        <f aca="false">IF(B306="","",SUM(J306:N306))</f>
        <v/>
      </c>
      <c r="J306" s="18"/>
      <c r="K306" s="18"/>
      <c r="L306" s="17" t="str">
        <f aca="false">IF(K306="","",ROUND(K306*$P$4,2))</f>
        <v/>
      </c>
      <c r="M306" s="18"/>
      <c r="N306" s="17" t="str">
        <f aca="false">IF(M306="","",ROUND(M306*$P$5,2))</f>
        <v/>
      </c>
      <c r="O306" s="18"/>
      <c r="P306" s="16"/>
      <c r="Q306" s="18"/>
    </row>
    <row r="307" customFormat="false" ht="15" hidden="false" customHeight="false" outlineLevel="0" collapsed="false">
      <c r="A307" s="14" t="str">
        <f aca="false">IF(B307="","",ROW()-11)</f>
        <v/>
      </c>
      <c r="B307" s="15"/>
      <c r="C307" s="16"/>
      <c r="D307" s="16"/>
      <c r="E307" s="16"/>
      <c r="F307" s="16"/>
      <c r="G307" s="16"/>
      <c r="H307" s="16"/>
      <c r="I307" s="17" t="str">
        <f aca="false">IF(B307="","",SUM(J307:N307))</f>
        <v/>
      </c>
      <c r="J307" s="18"/>
      <c r="K307" s="18"/>
      <c r="L307" s="17" t="str">
        <f aca="false">IF(K307="","",ROUND(K307*$P$4,2))</f>
        <v/>
      </c>
      <c r="M307" s="18"/>
      <c r="N307" s="17" t="str">
        <f aca="false">IF(M307="","",ROUND(M307*$P$5,2))</f>
        <v/>
      </c>
      <c r="O307" s="18"/>
      <c r="P307" s="16"/>
      <c r="Q307" s="18"/>
    </row>
    <row r="308" customFormat="false" ht="15" hidden="false" customHeight="false" outlineLevel="0" collapsed="false">
      <c r="A308" s="14" t="str">
        <f aca="false">IF(B308="","",ROW()-11)</f>
        <v/>
      </c>
      <c r="B308" s="15"/>
      <c r="C308" s="16"/>
      <c r="D308" s="16"/>
      <c r="E308" s="16"/>
      <c r="F308" s="16"/>
      <c r="G308" s="16"/>
      <c r="H308" s="16"/>
      <c r="I308" s="17" t="str">
        <f aca="false">IF(B308="","",SUM(J308:N308))</f>
        <v/>
      </c>
      <c r="J308" s="18"/>
      <c r="K308" s="18"/>
      <c r="L308" s="17" t="str">
        <f aca="false">IF(K308="","",ROUND(K308*$P$4,2))</f>
        <v/>
      </c>
      <c r="M308" s="18"/>
      <c r="N308" s="17" t="str">
        <f aca="false">IF(M308="","",ROUND(M308*$P$5,2))</f>
        <v/>
      </c>
      <c r="O308" s="18"/>
      <c r="P308" s="16"/>
      <c r="Q308" s="18"/>
    </row>
    <row r="309" customFormat="false" ht="15" hidden="false" customHeight="false" outlineLevel="0" collapsed="false">
      <c r="A309" s="14" t="str">
        <f aca="false">IF(B309="","",ROW()-11)</f>
        <v/>
      </c>
      <c r="B309" s="15"/>
      <c r="C309" s="16"/>
      <c r="D309" s="16"/>
      <c r="E309" s="16"/>
      <c r="F309" s="16"/>
      <c r="G309" s="16"/>
      <c r="H309" s="16"/>
      <c r="I309" s="17" t="str">
        <f aca="false">IF(B309="","",SUM(J309:N309))</f>
        <v/>
      </c>
      <c r="J309" s="18"/>
      <c r="K309" s="18"/>
      <c r="L309" s="17" t="str">
        <f aca="false">IF(K309="","",ROUND(K309*$P$4,2))</f>
        <v/>
      </c>
      <c r="M309" s="18"/>
      <c r="N309" s="17" t="str">
        <f aca="false">IF(M309="","",ROUND(M309*$P$5,2))</f>
        <v/>
      </c>
      <c r="O309" s="18"/>
      <c r="P309" s="16"/>
      <c r="Q309" s="18"/>
    </row>
    <row r="310" customFormat="false" ht="15" hidden="false" customHeight="false" outlineLevel="0" collapsed="false">
      <c r="A310" s="14" t="str">
        <f aca="false">IF(B310="","",ROW()-11)</f>
        <v/>
      </c>
      <c r="B310" s="15"/>
      <c r="C310" s="16"/>
      <c r="D310" s="16"/>
      <c r="E310" s="16"/>
      <c r="F310" s="16"/>
      <c r="G310" s="16"/>
      <c r="H310" s="16"/>
      <c r="I310" s="17" t="str">
        <f aca="false">IF(B310="","",SUM(J310:N310))</f>
        <v/>
      </c>
      <c r="J310" s="18"/>
      <c r="K310" s="18"/>
      <c r="L310" s="17" t="str">
        <f aca="false">IF(K310="","",ROUND(K310*$P$4,2))</f>
        <v/>
      </c>
      <c r="M310" s="18"/>
      <c r="N310" s="17" t="str">
        <f aca="false">IF(M310="","",ROUND(M310*$P$5,2))</f>
        <v/>
      </c>
      <c r="O310" s="18"/>
      <c r="P310" s="16"/>
      <c r="Q310" s="18"/>
    </row>
    <row r="311" customFormat="false" ht="15" hidden="false" customHeight="false" outlineLevel="0" collapsed="false">
      <c r="A311" s="14" t="str">
        <f aca="false">IF(B311="","",ROW()-11)</f>
        <v/>
      </c>
      <c r="B311" s="15"/>
      <c r="C311" s="16"/>
      <c r="D311" s="16"/>
      <c r="E311" s="16"/>
      <c r="F311" s="16"/>
      <c r="G311" s="16"/>
      <c r="H311" s="16"/>
      <c r="I311" s="17" t="str">
        <f aca="false">IF(B311="","",SUM(J311:N311))</f>
        <v/>
      </c>
      <c r="J311" s="18"/>
      <c r="K311" s="18"/>
      <c r="L311" s="17" t="str">
        <f aca="false">IF(K311="","",ROUND(K311*$P$4,2))</f>
        <v/>
      </c>
      <c r="M311" s="18"/>
      <c r="N311" s="17" t="str">
        <f aca="false">IF(M311="","",ROUND(M311*$P$5,2))</f>
        <v/>
      </c>
      <c r="O311" s="18"/>
      <c r="P311" s="16"/>
      <c r="Q311" s="18"/>
    </row>
    <row r="312" customFormat="false" ht="15" hidden="false" customHeight="false" outlineLevel="0" collapsed="false">
      <c r="H312" s="3" t="s">
        <v>38</v>
      </c>
      <c r="I312" s="19" t="n">
        <f aca="false">SUM(I12:I311)</f>
        <v>32166.41</v>
      </c>
      <c r="J312" s="19" t="n">
        <f aca="false">SUM(J12:J311)</f>
        <v>12699.08</v>
      </c>
      <c r="K312" s="19" t="n">
        <f aca="false">SUM(K12:K311)</f>
        <v>16782.18</v>
      </c>
      <c r="L312" s="19" t="n">
        <f aca="false">SUM(L12:L311)</f>
        <v>2685.15</v>
      </c>
      <c r="M312" s="19" t="n">
        <f aca="false">SUM(M12:M311)</f>
        <v>0</v>
      </c>
      <c r="N312" s="19" t="n">
        <f aca="false">SUM(N12:N311)</f>
        <v>0</v>
      </c>
      <c r="O312" s="19" t="n">
        <f aca="false">SUM(O12:O311)</f>
        <v>0</v>
      </c>
      <c r="Q312" s="19" t="n">
        <f aca="false">SUM(Q12:Q311)</f>
        <v>0</v>
      </c>
    </row>
  </sheetData>
  <mergeCells count="1">
    <mergeCell ref="D9:N9"/>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1" topLeftCell="C12" activePane="bottomRight" state="frozen"/>
      <selection pane="topLeft" activeCell="A1" activeCellId="0" sqref="A1"/>
      <selection pane="topRight" activeCell="C1" activeCellId="0" sqref="C1"/>
      <selection pane="bottomLeft" activeCell="A12" activeCellId="0" sqref="A1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3" min="2" style="0" width="12"/>
    <col collapsed="false" customWidth="true" hidden="false" outlineLevel="0" max="4" min="4" style="0" width="18"/>
    <col collapsed="false" customWidth="true" hidden="false" outlineLevel="0" max="6" min="5" style="0" width="14"/>
    <col collapsed="false" customWidth="true" hidden="false" outlineLevel="0" max="8" min="7" style="0" width="17"/>
    <col collapsed="false" customWidth="true" hidden="false" outlineLevel="0" max="9" min="9" style="0" width="16"/>
    <col collapsed="false" customWidth="true" hidden="false" outlineLevel="0" max="10" min="10" style="0" width="15"/>
    <col collapsed="false" customWidth="true" hidden="false" outlineLevel="0" max="11" min="11" style="0" width="16"/>
    <col collapsed="false" customWidth="true" hidden="false" outlineLevel="0" max="12" min="12" style="0" width="15"/>
    <col collapsed="false" customWidth="true" hidden="false" outlineLevel="0" max="13" min="13" style="0" width="17"/>
  </cols>
  <sheetData>
    <row r="1" customFormat="false" ht="17.35" hidden="false" customHeight="false" outlineLevel="0" collapsed="false">
      <c r="A1" s="1" t="s">
        <v>39</v>
      </c>
    </row>
    <row r="2" customFormat="false" ht="15" hidden="false" customHeight="false" outlineLevel="0" collapsed="false">
      <c r="A2" s="2" t="s">
        <v>40</v>
      </c>
    </row>
    <row r="4" customFormat="false" ht="15" hidden="false" customHeight="false" outlineLevel="0" collapsed="false">
      <c r="A4" s="3" t="s">
        <v>2</v>
      </c>
      <c r="D4" s="4" t="s">
        <v>3</v>
      </c>
      <c r="K4" s="3" t="s">
        <v>4</v>
      </c>
      <c r="L4" s="20" t="n">
        <f aca="false">Contribuyentes!P4</f>
        <v>0.16</v>
      </c>
    </row>
    <row r="5" customFormat="false" ht="15" hidden="false" customHeight="false" outlineLevel="0" collapsed="false">
      <c r="A5" s="3" t="s">
        <v>5</v>
      </c>
      <c r="D5" s="4" t="s">
        <v>6</v>
      </c>
      <c r="K5" s="3" t="s">
        <v>7</v>
      </c>
      <c r="L5" s="20" t="n">
        <f aca="false">Contribuyentes!P5</f>
        <v>0.08</v>
      </c>
    </row>
    <row r="6" customFormat="false" ht="15" hidden="false" customHeight="false" outlineLevel="0" collapsed="false">
      <c r="A6" s="3" t="s">
        <v>8</v>
      </c>
      <c r="D6" s="4" t="s">
        <v>9</v>
      </c>
    </row>
    <row r="7" customFormat="false" ht="15" hidden="false" customHeight="false" outlineLevel="0" collapsed="false">
      <c r="A7" s="3" t="s">
        <v>10</v>
      </c>
      <c r="D7" s="6" t="s">
        <v>11</v>
      </c>
    </row>
    <row r="9" customFormat="false" ht="42" hidden="false" customHeight="true" outlineLevel="0" collapsed="false">
      <c r="A9" s="3" t="s">
        <v>12</v>
      </c>
      <c r="D9" s="7" t="s">
        <v>41</v>
      </c>
      <c r="E9" s="7"/>
      <c r="F9" s="7"/>
      <c r="G9" s="7"/>
      <c r="H9" s="7"/>
      <c r="I9" s="7"/>
      <c r="J9" s="7"/>
      <c r="K9" s="7"/>
      <c r="L9" s="7"/>
      <c r="M9" s="7"/>
    </row>
    <row r="11" customFormat="false" ht="54" hidden="false" customHeight="true" outlineLevel="0" collapsed="false">
      <c r="A11" s="8" t="s">
        <v>14</v>
      </c>
      <c r="B11" s="8" t="s">
        <v>15</v>
      </c>
      <c r="C11" s="8" t="s">
        <v>42</v>
      </c>
      <c r="D11" s="8" t="s">
        <v>43</v>
      </c>
      <c r="E11" s="8" t="s">
        <v>44</v>
      </c>
      <c r="F11" s="8" t="s">
        <v>45</v>
      </c>
      <c r="G11" s="8" t="s">
        <v>46</v>
      </c>
      <c r="H11" s="8" t="s">
        <v>23</v>
      </c>
      <c r="I11" s="8" t="s">
        <v>24</v>
      </c>
      <c r="J11" s="8" t="s">
        <v>25</v>
      </c>
      <c r="K11" s="8" t="s">
        <v>26</v>
      </c>
      <c r="L11" s="8" t="s">
        <v>27</v>
      </c>
      <c r="M11" s="8" t="s">
        <v>47</v>
      </c>
    </row>
    <row r="12" customFormat="false" ht="15" hidden="false" customHeight="false" outlineLevel="0" collapsed="false">
      <c r="A12" s="9" t="n">
        <f aca="false">IF(B12="","",ROW()-11)</f>
        <v>1</v>
      </c>
      <c r="B12" s="10" t="n">
        <v>46317</v>
      </c>
      <c r="C12" s="21" t="s">
        <v>48</v>
      </c>
      <c r="D12" s="21" t="s">
        <v>33</v>
      </c>
      <c r="E12" s="21" t="s">
        <v>49</v>
      </c>
      <c r="F12" s="21" t="s">
        <v>50</v>
      </c>
      <c r="G12" s="12" t="n">
        <f aca="false">IF(B12="","",SUM(H12:L12))</f>
        <v>765022.41</v>
      </c>
      <c r="H12" s="13" t="n">
        <v>591217.36</v>
      </c>
      <c r="I12" s="13" t="n">
        <v>149831.94</v>
      </c>
      <c r="J12" s="12" t="n">
        <f aca="false">IF(I12="","",ROUND(I12*$L$4,2))</f>
        <v>23973.11</v>
      </c>
      <c r="K12" s="13"/>
      <c r="L12" s="12" t="str">
        <f aca="false">IF(K12="","",ROUND(K12*$L$5,2))</f>
        <v/>
      </c>
      <c r="M12" s="13"/>
    </row>
    <row r="13" customFormat="false" ht="15" hidden="false" customHeight="false" outlineLevel="0" collapsed="false">
      <c r="A13" s="9" t="n">
        <f aca="false">IF(B13="","",ROW()-11)</f>
        <v>2</v>
      </c>
      <c r="B13" s="10" t="n">
        <v>46318</v>
      </c>
      <c r="C13" s="21" t="s">
        <v>51</v>
      </c>
      <c r="D13" s="21" t="s">
        <v>33</v>
      </c>
      <c r="E13" s="21" t="s">
        <v>52</v>
      </c>
      <c r="F13" s="21" t="s">
        <v>53</v>
      </c>
      <c r="G13" s="12" t="n">
        <f aca="false">IF(B13="","",SUM(H13:L13))</f>
        <v>898529.18</v>
      </c>
      <c r="H13" s="13" t="n">
        <v>688012.44</v>
      </c>
      <c r="I13" s="13" t="n">
        <v>181479.95</v>
      </c>
      <c r="J13" s="12" t="n">
        <f aca="false">IF(I13="","",ROUND(I13*$L$4,2))</f>
        <v>29036.79</v>
      </c>
      <c r="K13" s="13"/>
      <c r="L13" s="12" t="str">
        <f aca="false">IF(K13="","",ROUND(K13*$L$5,2))</f>
        <v/>
      </c>
      <c r="M13" s="13" t="n">
        <v>0</v>
      </c>
    </row>
    <row r="14" customFormat="false" ht="15" hidden="false" customHeight="false" outlineLevel="0" collapsed="false">
      <c r="A14" s="9" t="n">
        <f aca="false">IF(B14="","",ROW()-11)</f>
        <v>3</v>
      </c>
      <c r="B14" s="10" t="n">
        <v>46319</v>
      </c>
      <c r="C14" s="21" t="s">
        <v>54</v>
      </c>
      <c r="D14" s="21" t="s">
        <v>33</v>
      </c>
      <c r="E14" s="21" t="s">
        <v>55</v>
      </c>
      <c r="F14" s="21" t="s">
        <v>56</v>
      </c>
      <c r="G14" s="12" t="n">
        <f aca="false">IF(B14="","",SUM(H14:L14))</f>
        <v>1014652.36</v>
      </c>
      <c r="H14" s="13" t="n">
        <v>784616.31</v>
      </c>
      <c r="I14" s="13" t="n">
        <v>198306.94</v>
      </c>
      <c r="J14" s="12" t="n">
        <f aca="false">IF(I14="","",ROUND(I14*$L$4,2))</f>
        <v>31729.11</v>
      </c>
      <c r="K14" s="13"/>
      <c r="L14" s="12" t="str">
        <f aca="false">IF(K14="","",ROUND(K14*$L$5,2))</f>
        <v/>
      </c>
      <c r="M14" s="13" t="n">
        <v>0</v>
      </c>
    </row>
    <row r="15" customFormat="false" ht="15" hidden="false" customHeight="false" outlineLevel="0" collapsed="false">
      <c r="A15" s="9" t="n">
        <f aca="false">IF(B15="","",ROW()-11)</f>
        <v>4</v>
      </c>
      <c r="B15" s="10" t="n">
        <v>46320</v>
      </c>
      <c r="C15" s="21" t="s">
        <v>57</v>
      </c>
      <c r="D15" s="21" t="s">
        <v>33</v>
      </c>
      <c r="E15" s="21" t="s">
        <v>58</v>
      </c>
      <c r="F15" s="21" t="s">
        <v>59</v>
      </c>
      <c r="G15" s="12" t="n">
        <f aca="false">IF(B15="","",SUM(H15:L15))</f>
        <v>907055.9</v>
      </c>
      <c r="H15" s="13" t="n">
        <v>702152.85</v>
      </c>
      <c r="I15" s="13" t="n">
        <v>176640.56</v>
      </c>
      <c r="J15" s="12" t="n">
        <f aca="false">IF(I15="","",ROUND(I15*$L$4,2))</f>
        <v>28262.49</v>
      </c>
      <c r="K15" s="13"/>
      <c r="L15" s="12" t="str">
        <f aca="false">IF(K15="","",ROUND(K15*$L$5,2))</f>
        <v/>
      </c>
      <c r="M15" s="13" t="n">
        <v>0</v>
      </c>
    </row>
    <row r="16" customFormat="false" ht="15" hidden="false" customHeight="false" outlineLevel="0" collapsed="false">
      <c r="A16" s="14" t="str">
        <f aca="false">IF(B16="","",ROW()-11)</f>
        <v/>
      </c>
      <c r="B16" s="15"/>
      <c r="C16" s="22"/>
      <c r="D16" s="22"/>
      <c r="E16" s="22"/>
      <c r="F16" s="22"/>
      <c r="G16" s="17" t="str">
        <f aca="false">IF(B16="","",SUM(H16:L16))</f>
        <v/>
      </c>
      <c r="H16" s="18"/>
      <c r="I16" s="18"/>
      <c r="J16" s="17" t="str">
        <f aca="false">IF(I16="","",ROUND(I16*$L$4,2))</f>
        <v/>
      </c>
      <c r="K16" s="18"/>
      <c r="L16" s="17" t="str">
        <f aca="false">IF(K16="","",ROUND(K16*$L$5,2))</f>
        <v/>
      </c>
      <c r="M16" s="18"/>
    </row>
    <row r="17" customFormat="false" ht="15" hidden="false" customHeight="false" outlineLevel="0" collapsed="false">
      <c r="A17" s="14" t="str">
        <f aca="false">IF(B17="","",ROW()-11)</f>
        <v/>
      </c>
      <c r="B17" s="15"/>
      <c r="C17" s="22"/>
      <c r="D17" s="22"/>
      <c r="E17" s="22"/>
      <c r="F17" s="22"/>
      <c r="G17" s="17" t="str">
        <f aca="false">IF(B17="","",SUM(H17:L17))</f>
        <v/>
      </c>
      <c r="H17" s="18"/>
      <c r="I17" s="18"/>
      <c r="J17" s="17" t="str">
        <f aca="false">IF(I17="","",ROUND(I17*$L$4,2))</f>
        <v/>
      </c>
      <c r="K17" s="18"/>
      <c r="L17" s="17" t="str">
        <f aca="false">IF(K17="","",ROUND(K17*$L$5,2))</f>
        <v/>
      </c>
      <c r="M17" s="18"/>
    </row>
    <row r="18" customFormat="false" ht="15" hidden="false" customHeight="false" outlineLevel="0" collapsed="false">
      <c r="A18" s="14" t="str">
        <f aca="false">IF(B18="","",ROW()-11)</f>
        <v/>
      </c>
      <c r="B18" s="15"/>
      <c r="C18" s="22"/>
      <c r="D18" s="22"/>
      <c r="E18" s="22"/>
      <c r="F18" s="22"/>
      <c r="G18" s="17" t="str">
        <f aca="false">IF(B18="","",SUM(H18:L18))</f>
        <v/>
      </c>
      <c r="H18" s="18"/>
      <c r="I18" s="18"/>
      <c r="J18" s="17" t="str">
        <f aca="false">IF(I18="","",ROUND(I18*$L$4,2))</f>
        <v/>
      </c>
      <c r="K18" s="18"/>
      <c r="L18" s="17" t="str">
        <f aca="false">IF(K18="","",ROUND(K18*$L$5,2))</f>
        <v/>
      </c>
      <c r="M18" s="18"/>
    </row>
    <row r="19" customFormat="false" ht="15" hidden="false" customHeight="false" outlineLevel="0" collapsed="false">
      <c r="A19" s="14" t="str">
        <f aca="false">IF(B19="","",ROW()-11)</f>
        <v/>
      </c>
      <c r="B19" s="15"/>
      <c r="C19" s="22"/>
      <c r="D19" s="22"/>
      <c r="E19" s="22"/>
      <c r="F19" s="22"/>
      <c r="G19" s="17" t="str">
        <f aca="false">IF(B19="","",SUM(H19:L19))</f>
        <v/>
      </c>
      <c r="H19" s="18"/>
      <c r="I19" s="18"/>
      <c r="J19" s="17" t="str">
        <f aca="false">IF(I19="","",ROUND(I19*$L$4,2))</f>
        <v/>
      </c>
      <c r="K19" s="18"/>
      <c r="L19" s="17" t="str">
        <f aca="false">IF(K19="","",ROUND(K19*$L$5,2))</f>
        <v/>
      </c>
      <c r="M19" s="18"/>
    </row>
    <row r="20" customFormat="false" ht="15" hidden="false" customHeight="false" outlineLevel="0" collapsed="false">
      <c r="A20" s="14" t="str">
        <f aca="false">IF(B20="","",ROW()-11)</f>
        <v/>
      </c>
      <c r="B20" s="15"/>
      <c r="C20" s="22"/>
      <c r="D20" s="22"/>
      <c r="E20" s="22"/>
      <c r="F20" s="22"/>
      <c r="G20" s="17" t="str">
        <f aca="false">IF(B20="","",SUM(H20:L20))</f>
        <v/>
      </c>
      <c r="H20" s="18"/>
      <c r="I20" s="18"/>
      <c r="J20" s="17" t="str">
        <f aca="false">IF(I20="","",ROUND(I20*$L$4,2))</f>
        <v/>
      </c>
      <c r="K20" s="18"/>
      <c r="L20" s="17" t="str">
        <f aca="false">IF(K20="","",ROUND(K20*$L$5,2))</f>
        <v/>
      </c>
      <c r="M20" s="18"/>
    </row>
    <row r="21" customFormat="false" ht="15" hidden="false" customHeight="false" outlineLevel="0" collapsed="false">
      <c r="A21" s="14" t="str">
        <f aca="false">IF(B21="","",ROW()-11)</f>
        <v/>
      </c>
      <c r="B21" s="15"/>
      <c r="C21" s="22"/>
      <c r="D21" s="22"/>
      <c r="E21" s="22"/>
      <c r="F21" s="22"/>
      <c r="G21" s="17" t="str">
        <f aca="false">IF(B21="","",SUM(H21:L21))</f>
        <v/>
      </c>
      <c r="H21" s="18"/>
      <c r="I21" s="18"/>
      <c r="J21" s="17" t="str">
        <f aca="false">IF(I21="","",ROUND(I21*$L$4,2))</f>
        <v/>
      </c>
      <c r="K21" s="18"/>
      <c r="L21" s="17" t="str">
        <f aca="false">IF(K21="","",ROUND(K21*$L$5,2))</f>
        <v/>
      </c>
      <c r="M21" s="18"/>
    </row>
    <row r="22" customFormat="false" ht="15" hidden="false" customHeight="false" outlineLevel="0" collapsed="false">
      <c r="A22" s="14" t="str">
        <f aca="false">IF(B22="","",ROW()-11)</f>
        <v/>
      </c>
      <c r="B22" s="15"/>
      <c r="C22" s="22"/>
      <c r="D22" s="22"/>
      <c r="E22" s="22"/>
      <c r="F22" s="22"/>
      <c r="G22" s="17" t="str">
        <f aca="false">IF(B22="","",SUM(H22:L22))</f>
        <v/>
      </c>
      <c r="H22" s="18"/>
      <c r="I22" s="18"/>
      <c r="J22" s="17" t="str">
        <f aca="false">IF(I22="","",ROUND(I22*$L$4,2))</f>
        <v/>
      </c>
      <c r="K22" s="18"/>
      <c r="L22" s="17" t="str">
        <f aca="false">IF(K22="","",ROUND(K22*$L$5,2))</f>
        <v/>
      </c>
      <c r="M22" s="18"/>
    </row>
    <row r="23" customFormat="false" ht="15" hidden="false" customHeight="false" outlineLevel="0" collapsed="false">
      <c r="A23" s="14" t="str">
        <f aca="false">IF(B23="","",ROW()-11)</f>
        <v/>
      </c>
      <c r="B23" s="15"/>
      <c r="C23" s="22"/>
      <c r="D23" s="22"/>
      <c r="E23" s="22"/>
      <c r="F23" s="22"/>
      <c r="G23" s="17" t="str">
        <f aca="false">IF(B23="","",SUM(H23:L23))</f>
        <v/>
      </c>
      <c r="H23" s="18"/>
      <c r="I23" s="18"/>
      <c r="J23" s="17" t="str">
        <f aca="false">IF(I23="","",ROUND(I23*$L$4,2))</f>
        <v/>
      </c>
      <c r="K23" s="18"/>
      <c r="L23" s="17" t="str">
        <f aca="false">IF(K23="","",ROUND(K23*$L$5,2))</f>
        <v/>
      </c>
      <c r="M23" s="18"/>
    </row>
    <row r="24" customFormat="false" ht="15" hidden="false" customHeight="false" outlineLevel="0" collapsed="false">
      <c r="A24" s="14" t="str">
        <f aca="false">IF(B24="","",ROW()-11)</f>
        <v/>
      </c>
      <c r="B24" s="15"/>
      <c r="C24" s="22"/>
      <c r="D24" s="22"/>
      <c r="E24" s="22"/>
      <c r="F24" s="22"/>
      <c r="G24" s="17" t="str">
        <f aca="false">IF(B24="","",SUM(H24:L24))</f>
        <v/>
      </c>
      <c r="H24" s="18"/>
      <c r="I24" s="18"/>
      <c r="J24" s="17" t="str">
        <f aca="false">IF(I24="","",ROUND(I24*$L$4,2))</f>
        <v/>
      </c>
      <c r="K24" s="18"/>
      <c r="L24" s="17" t="str">
        <f aca="false">IF(K24="","",ROUND(K24*$L$5,2))</f>
        <v/>
      </c>
      <c r="M24" s="18"/>
    </row>
    <row r="25" customFormat="false" ht="15" hidden="false" customHeight="false" outlineLevel="0" collapsed="false">
      <c r="A25" s="14" t="str">
        <f aca="false">IF(B25="","",ROW()-11)</f>
        <v/>
      </c>
      <c r="B25" s="15"/>
      <c r="C25" s="22"/>
      <c r="D25" s="22"/>
      <c r="E25" s="22"/>
      <c r="F25" s="22"/>
      <c r="G25" s="17" t="str">
        <f aca="false">IF(B25="","",SUM(H25:L25))</f>
        <v/>
      </c>
      <c r="H25" s="18"/>
      <c r="I25" s="18"/>
      <c r="J25" s="17" t="str">
        <f aca="false">IF(I25="","",ROUND(I25*$L$4,2))</f>
        <v/>
      </c>
      <c r="K25" s="18"/>
      <c r="L25" s="17" t="str">
        <f aca="false">IF(K25="","",ROUND(K25*$L$5,2))</f>
        <v/>
      </c>
      <c r="M25" s="18"/>
    </row>
    <row r="26" customFormat="false" ht="15" hidden="false" customHeight="false" outlineLevel="0" collapsed="false">
      <c r="A26" s="14" t="str">
        <f aca="false">IF(B26="","",ROW()-11)</f>
        <v/>
      </c>
      <c r="B26" s="15"/>
      <c r="C26" s="22"/>
      <c r="D26" s="22"/>
      <c r="E26" s="22"/>
      <c r="F26" s="22"/>
      <c r="G26" s="17" t="str">
        <f aca="false">IF(B26="","",SUM(H26:L26))</f>
        <v/>
      </c>
      <c r="H26" s="18"/>
      <c r="I26" s="18"/>
      <c r="J26" s="17" t="str">
        <f aca="false">IF(I26="","",ROUND(I26*$L$4,2))</f>
        <v/>
      </c>
      <c r="K26" s="18"/>
      <c r="L26" s="17" t="str">
        <f aca="false">IF(K26="","",ROUND(K26*$L$5,2))</f>
        <v/>
      </c>
      <c r="M26" s="18"/>
    </row>
    <row r="27" customFormat="false" ht="15" hidden="false" customHeight="false" outlineLevel="0" collapsed="false">
      <c r="A27" s="14" t="str">
        <f aca="false">IF(B27="","",ROW()-11)</f>
        <v/>
      </c>
      <c r="B27" s="15"/>
      <c r="C27" s="22"/>
      <c r="D27" s="22"/>
      <c r="E27" s="22"/>
      <c r="F27" s="22"/>
      <c r="G27" s="17" t="str">
        <f aca="false">IF(B27="","",SUM(H27:L27))</f>
        <v/>
      </c>
      <c r="H27" s="18"/>
      <c r="I27" s="18"/>
      <c r="J27" s="17" t="str">
        <f aca="false">IF(I27="","",ROUND(I27*$L$4,2))</f>
        <v/>
      </c>
      <c r="K27" s="18"/>
      <c r="L27" s="17" t="str">
        <f aca="false">IF(K27="","",ROUND(K27*$L$5,2))</f>
        <v/>
      </c>
      <c r="M27" s="18"/>
    </row>
    <row r="28" customFormat="false" ht="15" hidden="false" customHeight="false" outlineLevel="0" collapsed="false">
      <c r="A28" s="14" t="str">
        <f aca="false">IF(B28="","",ROW()-11)</f>
        <v/>
      </c>
      <c r="B28" s="15"/>
      <c r="C28" s="22"/>
      <c r="D28" s="22"/>
      <c r="E28" s="22"/>
      <c r="F28" s="22"/>
      <c r="G28" s="17" t="str">
        <f aca="false">IF(B28="","",SUM(H28:L28))</f>
        <v/>
      </c>
      <c r="H28" s="18"/>
      <c r="I28" s="18"/>
      <c r="J28" s="17" t="str">
        <f aca="false">IF(I28="","",ROUND(I28*$L$4,2))</f>
        <v/>
      </c>
      <c r="K28" s="18"/>
      <c r="L28" s="17" t="str">
        <f aca="false">IF(K28="","",ROUND(K28*$L$5,2))</f>
        <v/>
      </c>
      <c r="M28" s="18"/>
    </row>
    <row r="29" customFormat="false" ht="15" hidden="false" customHeight="false" outlineLevel="0" collapsed="false">
      <c r="A29" s="14" t="str">
        <f aca="false">IF(B29="","",ROW()-11)</f>
        <v/>
      </c>
      <c r="B29" s="15"/>
      <c r="C29" s="22"/>
      <c r="D29" s="22"/>
      <c r="E29" s="22"/>
      <c r="F29" s="22"/>
      <c r="G29" s="17" t="str">
        <f aca="false">IF(B29="","",SUM(H29:L29))</f>
        <v/>
      </c>
      <c r="H29" s="18"/>
      <c r="I29" s="18"/>
      <c r="J29" s="17" t="str">
        <f aca="false">IF(I29="","",ROUND(I29*$L$4,2))</f>
        <v/>
      </c>
      <c r="K29" s="18"/>
      <c r="L29" s="17" t="str">
        <f aca="false">IF(K29="","",ROUND(K29*$L$5,2))</f>
        <v/>
      </c>
      <c r="M29" s="18"/>
    </row>
    <row r="30" customFormat="false" ht="15" hidden="false" customHeight="false" outlineLevel="0" collapsed="false">
      <c r="A30" s="14" t="str">
        <f aca="false">IF(B30="","",ROW()-11)</f>
        <v/>
      </c>
      <c r="B30" s="15"/>
      <c r="C30" s="22"/>
      <c r="D30" s="22"/>
      <c r="E30" s="22"/>
      <c r="F30" s="22"/>
      <c r="G30" s="17" t="str">
        <f aca="false">IF(B30="","",SUM(H30:L30))</f>
        <v/>
      </c>
      <c r="H30" s="18"/>
      <c r="I30" s="18"/>
      <c r="J30" s="17" t="str">
        <f aca="false">IF(I30="","",ROUND(I30*$L$4,2))</f>
        <v/>
      </c>
      <c r="K30" s="18"/>
      <c r="L30" s="17" t="str">
        <f aca="false">IF(K30="","",ROUND(K30*$L$5,2))</f>
        <v/>
      </c>
      <c r="M30" s="18"/>
    </row>
    <row r="31" customFormat="false" ht="15" hidden="false" customHeight="false" outlineLevel="0" collapsed="false">
      <c r="A31" s="14" t="str">
        <f aca="false">IF(B31="","",ROW()-11)</f>
        <v/>
      </c>
      <c r="B31" s="15"/>
      <c r="C31" s="22"/>
      <c r="D31" s="22"/>
      <c r="E31" s="22"/>
      <c r="F31" s="22"/>
      <c r="G31" s="17" t="str">
        <f aca="false">IF(B31="","",SUM(H31:L31))</f>
        <v/>
      </c>
      <c r="H31" s="18"/>
      <c r="I31" s="18"/>
      <c r="J31" s="17" t="str">
        <f aca="false">IF(I31="","",ROUND(I31*$L$4,2))</f>
        <v/>
      </c>
      <c r="K31" s="18"/>
      <c r="L31" s="17" t="str">
        <f aca="false">IF(K31="","",ROUND(K31*$L$5,2))</f>
        <v/>
      </c>
      <c r="M31" s="18"/>
    </row>
    <row r="32" customFormat="false" ht="15" hidden="false" customHeight="false" outlineLevel="0" collapsed="false">
      <c r="A32" s="14" t="str">
        <f aca="false">IF(B32="","",ROW()-11)</f>
        <v/>
      </c>
      <c r="B32" s="15"/>
      <c r="C32" s="22"/>
      <c r="D32" s="22"/>
      <c r="E32" s="22"/>
      <c r="F32" s="22"/>
      <c r="G32" s="17" t="str">
        <f aca="false">IF(B32="","",SUM(H32:L32))</f>
        <v/>
      </c>
      <c r="H32" s="18"/>
      <c r="I32" s="18"/>
      <c r="J32" s="17" t="str">
        <f aca="false">IF(I32="","",ROUND(I32*$L$4,2))</f>
        <v/>
      </c>
      <c r="K32" s="18"/>
      <c r="L32" s="17" t="str">
        <f aca="false">IF(K32="","",ROUND(K32*$L$5,2))</f>
        <v/>
      </c>
      <c r="M32" s="18"/>
    </row>
    <row r="33" customFormat="false" ht="15" hidden="false" customHeight="false" outlineLevel="0" collapsed="false">
      <c r="A33" s="14" t="str">
        <f aca="false">IF(B33="","",ROW()-11)</f>
        <v/>
      </c>
      <c r="B33" s="15"/>
      <c r="C33" s="22"/>
      <c r="D33" s="22"/>
      <c r="E33" s="22"/>
      <c r="F33" s="22"/>
      <c r="G33" s="17" t="str">
        <f aca="false">IF(B33="","",SUM(H33:L33))</f>
        <v/>
      </c>
      <c r="H33" s="18"/>
      <c r="I33" s="18"/>
      <c r="J33" s="17" t="str">
        <f aca="false">IF(I33="","",ROUND(I33*$L$4,2))</f>
        <v/>
      </c>
      <c r="K33" s="18"/>
      <c r="L33" s="17" t="str">
        <f aca="false">IF(K33="","",ROUND(K33*$L$5,2))</f>
        <v/>
      </c>
      <c r="M33" s="18"/>
    </row>
    <row r="34" customFormat="false" ht="15" hidden="false" customHeight="false" outlineLevel="0" collapsed="false">
      <c r="A34" s="14" t="str">
        <f aca="false">IF(B34="","",ROW()-11)</f>
        <v/>
      </c>
      <c r="B34" s="15"/>
      <c r="C34" s="22"/>
      <c r="D34" s="22"/>
      <c r="E34" s="22"/>
      <c r="F34" s="22"/>
      <c r="G34" s="17" t="str">
        <f aca="false">IF(B34="","",SUM(H34:L34))</f>
        <v/>
      </c>
      <c r="H34" s="18"/>
      <c r="I34" s="18"/>
      <c r="J34" s="17" t="str">
        <f aca="false">IF(I34="","",ROUND(I34*$L$4,2))</f>
        <v/>
      </c>
      <c r="K34" s="18"/>
      <c r="L34" s="17" t="str">
        <f aca="false">IF(K34="","",ROUND(K34*$L$5,2))</f>
        <v/>
      </c>
      <c r="M34" s="18"/>
    </row>
    <row r="35" customFormat="false" ht="15" hidden="false" customHeight="false" outlineLevel="0" collapsed="false">
      <c r="A35" s="14" t="str">
        <f aca="false">IF(B35="","",ROW()-11)</f>
        <v/>
      </c>
      <c r="B35" s="15"/>
      <c r="C35" s="22"/>
      <c r="D35" s="22"/>
      <c r="E35" s="22"/>
      <c r="F35" s="22"/>
      <c r="G35" s="17" t="str">
        <f aca="false">IF(B35="","",SUM(H35:L35))</f>
        <v/>
      </c>
      <c r="H35" s="18"/>
      <c r="I35" s="18"/>
      <c r="J35" s="17" t="str">
        <f aca="false">IF(I35="","",ROUND(I35*$L$4,2))</f>
        <v/>
      </c>
      <c r="K35" s="18"/>
      <c r="L35" s="17" t="str">
        <f aca="false">IF(K35="","",ROUND(K35*$L$5,2))</f>
        <v/>
      </c>
      <c r="M35" s="18"/>
    </row>
    <row r="36" customFormat="false" ht="15" hidden="false" customHeight="false" outlineLevel="0" collapsed="false">
      <c r="A36" s="14" t="str">
        <f aca="false">IF(B36="","",ROW()-11)</f>
        <v/>
      </c>
      <c r="B36" s="15"/>
      <c r="C36" s="22"/>
      <c r="D36" s="22"/>
      <c r="E36" s="22"/>
      <c r="F36" s="22"/>
      <c r="G36" s="17" t="str">
        <f aca="false">IF(B36="","",SUM(H36:L36))</f>
        <v/>
      </c>
      <c r="H36" s="18"/>
      <c r="I36" s="18"/>
      <c r="J36" s="17" t="str">
        <f aca="false">IF(I36="","",ROUND(I36*$L$4,2))</f>
        <v/>
      </c>
      <c r="K36" s="18"/>
      <c r="L36" s="17" t="str">
        <f aca="false">IF(K36="","",ROUND(K36*$L$5,2))</f>
        <v/>
      </c>
      <c r="M36" s="18"/>
    </row>
    <row r="37" customFormat="false" ht="15" hidden="false" customHeight="false" outlineLevel="0" collapsed="false">
      <c r="A37" s="14" t="str">
        <f aca="false">IF(B37="","",ROW()-11)</f>
        <v/>
      </c>
      <c r="B37" s="15"/>
      <c r="C37" s="22"/>
      <c r="D37" s="22"/>
      <c r="E37" s="22"/>
      <c r="F37" s="22"/>
      <c r="G37" s="17" t="str">
        <f aca="false">IF(B37="","",SUM(H37:L37))</f>
        <v/>
      </c>
      <c r="H37" s="18"/>
      <c r="I37" s="18"/>
      <c r="J37" s="17" t="str">
        <f aca="false">IF(I37="","",ROUND(I37*$L$4,2))</f>
        <v/>
      </c>
      <c r="K37" s="18"/>
      <c r="L37" s="17" t="str">
        <f aca="false">IF(K37="","",ROUND(K37*$L$5,2))</f>
        <v/>
      </c>
      <c r="M37" s="18"/>
    </row>
    <row r="38" customFormat="false" ht="15" hidden="false" customHeight="false" outlineLevel="0" collapsed="false">
      <c r="A38" s="14" t="str">
        <f aca="false">IF(B38="","",ROW()-11)</f>
        <v/>
      </c>
      <c r="B38" s="15"/>
      <c r="C38" s="22"/>
      <c r="D38" s="22"/>
      <c r="E38" s="22"/>
      <c r="F38" s="22"/>
      <c r="G38" s="17" t="str">
        <f aca="false">IF(B38="","",SUM(H38:L38))</f>
        <v/>
      </c>
      <c r="H38" s="18"/>
      <c r="I38" s="18"/>
      <c r="J38" s="17" t="str">
        <f aca="false">IF(I38="","",ROUND(I38*$L$4,2))</f>
        <v/>
      </c>
      <c r="K38" s="18"/>
      <c r="L38" s="17" t="str">
        <f aca="false">IF(K38="","",ROUND(K38*$L$5,2))</f>
        <v/>
      </c>
      <c r="M38" s="18"/>
    </row>
    <row r="39" customFormat="false" ht="15" hidden="false" customHeight="false" outlineLevel="0" collapsed="false">
      <c r="A39" s="14" t="str">
        <f aca="false">IF(B39="","",ROW()-11)</f>
        <v/>
      </c>
      <c r="B39" s="15"/>
      <c r="C39" s="22"/>
      <c r="D39" s="22"/>
      <c r="E39" s="22"/>
      <c r="F39" s="22"/>
      <c r="G39" s="17" t="str">
        <f aca="false">IF(B39="","",SUM(H39:L39))</f>
        <v/>
      </c>
      <c r="H39" s="18"/>
      <c r="I39" s="18"/>
      <c r="J39" s="17" t="str">
        <f aca="false">IF(I39="","",ROUND(I39*$L$4,2))</f>
        <v/>
      </c>
      <c r="K39" s="18"/>
      <c r="L39" s="17" t="str">
        <f aca="false">IF(K39="","",ROUND(K39*$L$5,2))</f>
        <v/>
      </c>
      <c r="M39" s="18"/>
    </row>
    <row r="40" customFormat="false" ht="15" hidden="false" customHeight="false" outlineLevel="0" collapsed="false">
      <c r="A40" s="14" t="str">
        <f aca="false">IF(B40="","",ROW()-11)</f>
        <v/>
      </c>
      <c r="B40" s="15"/>
      <c r="C40" s="22"/>
      <c r="D40" s="22"/>
      <c r="E40" s="22"/>
      <c r="F40" s="22"/>
      <c r="G40" s="17" t="str">
        <f aca="false">IF(B40="","",SUM(H40:L40))</f>
        <v/>
      </c>
      <c r="H40" s="18"/>
      <c r="I40" s="18"/>
      <c r="J40" s="17" t="str">
        <f aca="false">IF(I40="","",ROUND(I40*$L$4,2))</f>
        <v/>
      </c>
      <c r="K40" s="18"/>
      <c r="L40" s="17" t="str">
        <f aca="false">IF(K40="","",ROUND(K40*$L$5,2))</f>
        <v/>
      </c>
      <c r="M40" s="18"/>
    </row>
    <row r="41" customFormat="false" ht="15" hidden="false" customHeight="false" outlineLevel="0" collapsed="false">
      <c r="A41" s="14" t="str">
        <f aca="false">IF(B41="","",ROW()-11)</f>
        <v/>
      </c>
      <c r="B41" s="15"/>
      <c r="C41" s="22"/>
      <c r="D41" s="22"/>
      <c r="E41" s="22"/>
      <c r="F41" s="22"/>
      <c r="G41" s="17" t="str">
        <f aca="false">IF(B41="","",SUM(H41:L41))</f>
        <v/>
      </c>
      <c r="H41" s="18"/>
      <c r="I41" s="18"/>
      <c r="J41" s="17" t="str">
        <f aca="false">IF(I41="","",ROUND(I41*$L$4,2))</f>
        <v/>
      </c>
      <c r="K41" s="18"/>
      <c r="L41" s="17" t="str">
        <f aca="false">IF(K41="","",ROUND(K41*$L$5,2))</f>
        <v/>
      </c>
      <c r="M41" s="18"/>
    </row>
    <row r="42" customFormat="false" ht="15" hidden="false" customHeight="false" outlineLevel="0" collapsed="false">
      <c r="A42" s="14" t="str">
        <f aca="false">IF(B42="","",ROW()-11)</f>
        <v/>
      </c>
      <c r="B42" s="15"/>
      <c r="C42" s="22"/>
      <c r="D42" s="22"/>
      <c r="E42" s="22"/>
      <c r="F42" s="22"/>
      <c r="G42" s="17" t="str">
        <f aca="false">IF(B42="","",SUM(H42:L42))</f>
        <v/>
      </c>
      <c r="H42" s="18"/>
      <c r="I42" s="18"/>
      <c r="J42" s="17" t="str">
        <f aca="false">IF(I42="","",ROUND(I42*$L$4,2))</f>
        <v/>
      </c>
      <c r="K42" s="18"/>
      <c r="L42" s="17" t="str">
        <f aca="false">IF(K42="","",ROUND(K42*$L$5,2))</f>
        <v/>
      </c>
      <c r="M42" s="18"/>
    </row>
    <row r="43" customFormat="false" ht="15" hidden="false" customHeight="false" outlineLevel="0" collapsed="false">
      <c r="A43" s="14" t="str">
        <f aca="false">IF(B43="","",ROW()-11)</f>
        <v/>
      </c>
      <c r="B43" s="15"/>
      <c r="C43" s="22"/>
      <c r="D43" s="22"/>
      <c r="E43" s="22"/>
      <c r="F43" s="22"/>
      <c r="G43" s="17" t="str">
        <f aca="false">IF(B43="","",SUM(H43:L43))</f>
        <v/>
      </c>
      <c r="H43" s="18"/>
      <c r="I43" s="18"/>
      <c r="J43" s="17" t="str">
        <f aca="false">IF(I43="","",ROUND(I43*$L$4,2))</f>
        <v/>
      </c>
      <c r="K43" s="18"/>
      <c r="L43" s="17" t="str">
        <f aca="false">IF(K43="","",ROUND(K43*$L$5,2))</f>
        <v/>
      </c>
      <c r="M43" s="18"/>
    </row>
    <row r="44" customFormat="false" ht="15" hidden="false" customHeight="false" outlineLevel="0" collapsed="false">
      <c r="A44" s="14" t="str">
        <f aca="false">IF(B44="","",ROW()-11)</f>
        <v/>
      </c>
      <c r="B44" s="15"/>
      <c r="C44" s="22"/>
      <c r="D44" s="22"/>
      <c r="E44" s="22"/>
      <c r="F44" s="22"/>
      <c r="G44" s="17" t="str">
        <f aca="false">IF(B44="","",SUM(H44:L44))</f>
        <v/>
      </c>
      <c r="H44" s="18"/>
      <c r="I44" s="18"/>
      <c r="J44" s="17" t="str">
        <f aca="false">IF(I44="","",ROUND(I44*$L$4,2))</f>
        <v/>
      </c>
      <c r="K44" s="18"/>
      <c r="L44" s="17" t="str">
        <f aca="false">IF(K44="","",ROUND(K44*$L$5,2))</f>
        <v/>
      </c>
      <c r="M44" s="18"/>
    </row>
    <row r="45" customFormat="false" ht="15" hidden="false" customHeight="false" outlineLevel="0" collapsed="false">
      <c r="A45" s="14" t="str">
        <f aca="false">IF(B45="","",ROW()-11)</f>
        <v/>
      </c>
      <c r="B45" s="15"/>
      <c r="C45" s="22"/>
      <c r="D45" s="22"/>
      <c r="E45" s="22"/>
      <c r="F45" s="22"/>
      <c r="G45" s="17" t="str">
        <f aca="false">IF(B45="","",SUM(H45:L45))</f>
        <v/>
      </c>
      <c r="H45" s="18"/>
      <c r="I45" s="18"/>
      <c r="J45" s="17" t="str">
        <f aca="false">IF(I45="","",ROUND(I45*$L$4,2))</f>
        <v/>
      </c>
      <c r="K45" s="18"/>
      <c r="L45" s="17" t="str">
        <f aca="false">IF(K45="","",ROUND(K45*$L$5,2))</f>
        <v/>
      </c>
      <c r="M45" s="18"/>
    </row>
    <row r="46" customFormat="false" ht="15" hidden="false" customHeight="false" outlineLevel="0" collapsed="false">
      <c r="A46" s="14" t="str">
        <f aca="false">IF(B46="","",ROW()-11)</f>
        <v/>
      </c>
      <c r="B46" s="15"/>
      <c r="C46" s="22"/>
      <c r="D46" s="22"/>
      <c r="E46" s="22"/>
      <c r="F46" s="22"/>
      <c r="G46" s="17" t="str">
        <f aca="false">IF(B46="","",SUM(H46:L46))</f>
        <v/>
      </c>
      <c r="H46" s="18"/>
      <c r="I46" s="18"/>
      <c r="J46" s="17" t="str">
        <f aca="false">IF(I46="","",ROUND(I46*$L$4,2))</f>
        <v/>
      </c>
      <c r="K46" s="18"/>
      <c r="L46" s="17" t="str">
        <f aca="false">IF(K46="","",ROUND(K46*$L$5,2))</f>
        <v/>
      </c>
      <c r="M46" s="18"/>
    </row>
    <row r="47" customFormat="false" ht="15" hidden="false" customHeight="false" outlineLevel="0" collapsed="false">
      <c r="A47" s="14" t="str">
        <f aca="false">IF(B47="","",ROW()-11)</f>
        <v/>
      </c>
      <c r="B47" s="15"/>
      <c r="C47" s="22"/>
      <c r="D47" s="22"/>
      <c r="E47" s="22"/>
      <c r="F47" s="22"/>
      <c r="G47" s="17" t="str">
        <f aca="false">IF(B47="","",SUM(H47:L47))</f>
        <v/>
      </c>
      <c r="H47" s="18"/>
      <c r="I47" s="18"/>
      <c r="J47" s="17" t="str">
        <f aca="false">IF(I47="","",ROUND(I47*$L$4,2))</f>
        <v/>
      </c>
      <c r="K47" s="18"/>
      <c r="L47" s="17" t="str">
        <f aca="false">IF(K47="","",ROUND(K47*$L$5,2))</f>
        <v/>
      </c>
      <c r="M47" s="18"/>
    </row>
    <row r="48" customFormat="false" ht="15" hidden="false" customHeight="false" outlineLevel="0" collapsed="false">
      <c r="A48" s="14" t="str">
        <f aca="false">IF(B48="","",ROW()-11)</f>
        <v/>
      </c>
      <c r="B48" s="15"/>
      <c r="C48" s="22"/>
      <c r="D48" s="22"/>
      <c r="E48" s="22"/>
      <c r="F48" s="22"/>
      <c r="G48" s="17" t="str">
        <f aca="false">IF(B48="","",SUM(H48:L48))</f>
        <v/>
      </c>
      <c r="H48" s="18"/>
      <c r="I48" s="18"/>
      <c r="J48" s="17" t="str">
        <f aca="false">IF(I48="","",ROUND(I48*$L$4,2))</f>
        <v/>
      </c>
      <c r="K48" s="18"/>
      <c r="L48" s="17" t="str">
        <f aca="false">IF(K48="","",ROUND(K48*$L$5,2))</f>
        <v/>
      </c>
      <c r="M48" s="18"/>
    </row>
    <row r="49" customFormat="false" ht="15" hidden="false" customHeight="false" outlineLevel="0" collapsed="false">
      <c r="A49" s="14" t="str">
        <f aca="false">IF(B49="","",ROW()-11)</f>
        <v/>
      </c>
      <c r="B49" s="15"/>
      <c r="C49" s="22"/>
      <c r="D49" s="22"/>
      <c r="E49" s="22"/>
      <c r="F49" s="22"/>
      <c r="G49" s="17" t="str">
        <f aca="false">IF(B49="","",SUM(H49:L49))</f>
        <v/>
      </c>
      <c r="H49" s="18"/>
      <c r="I49" s="18"/>
      <c r="J49" s="17" t="str">
        <f aca="false">IF(I49="","",ROUND(I49*$L$4,2))</f>
        <v/>
      </c>
      <c r="K49" s="18"/>
      <c r="L49" s="17" t="str">
        <f aca="false">IF(K49="","",ROUND(K49*$L$5,2))</f>
        <v/>
      </c>
      <c r="M49" s="18"/>
    </row>
    <row r="50" customFormat="false" ht="15" hidden="false" customHeight="false" outlineLevel="0" collapsed="false">
      <c r="A50" s="14" t="str">
        <f aca="false">IF(B50="","",ROW()-11)</f>
        <v/>
      </c>
      <c r="B50" s="15"/>
      <c r="C50" s="22"/>
      <c r="D50" s="22"/>
      <c r="E50" s="22"/>
      <c r="F50" s="22"/>
      <c r="G50" s="17" t="str">
        <f aca="false">IF(B50="","",SUM(H50:L50))</f>
        <v/>
      </c>
      <c r="H50" s="18"/>
      <c r="I50" s="18"/>
      <c r="J50" s="17" t="str">
        <f aca="false">IF(I50="","",ROUND(I50*$L$4,2))</f>
        <v/>
      </c>
      <c r="K50" s="18"/>
      <c r="L50" s="17" t="str">
        <f aca="false">IF(K50="","",ROUND(K50*$L$5,2))</f>
        <v/>
      </c>
      <c r="M50" s="18"/>
    </row>
    <row r="51" customFormat="false" ht="15" hidden="false" customHeight="false" outlineLevel="0" collapsed="false">
      <c r="A51" s="14" t="str">
        <f aca="false">IF(B51="","",ROW()-11)</f>
        <v/>
      </c>
      <c r="B51" s="15"/>
      <c r="C51" s="22"/>
      <c r="D51" s="22"/>
      <c r="E51" s="22"/>
      <c r="F51" s="22"/>
      <c r="G51" s="17" t="str">
        <f aca="false">IF(B51="","",SUM(H51:L51))</f>
        <v/>
      </c>
      <c r="H51" s="18"/>
      <c r="I51" s="18"/>
      <c r="J51" s="17" t="str">
        <f aca="false">IF(I51="","",ROUND(I51*$L$4,2))</f>
        <v/>
      </c>
      <c r="K51" s="18"/>
      <c r="L51" s="17" t="str">
        <f aca="false">IF(K51="","",ROUND(K51*$L$5,2))</f>
        <v/>
      </c>
      <c r="M51" s="18"/>
    </row>
    <row r="52" customFormat="false" ht="15" hidden="false" customHeight="false" outlineLevel="0" collapsed="false">
      <c r="A52" s="14" t="str">
        <f aca="false">IF(B52="","",ROW()-11)</f>
        <v/>
      </c>
      <c r="B52" s="15"/>
      <c r="C52" s="22"/>
      <c r="D52" s="22"/>
      <c r="E52" s="22"/>
      <c r="F52" s="22"/>
      <c r="G52" s="17" t="str">
        <f aca="false">IF(B52="","",SUM(H52:L52))</f>
        <v/>
      </c>
      <c r="H52" s="18"/>
      <c r="I52" s="18"/>
      <c r="J52" s="17" t="str">
        <f aca="false">IF(I52="","",ROUND(I52*$L$4,2))</f>
        <v/>
      </c>
      <c r="K52" s="18"/>
      <c r="L52" s="17" t="str">
        <f aca="false">IF(K52="","",ROUND(K52*$L$5,2))</f>
        <v/>
      </c>
      <c r="M52" s="18"/>
    </row>
    <row r="53" customFormat="false" ht="15" hidden="false" customHeight="false" outlineLevel="0" collapsed="false">
      <c r="A53" s="14" t="str">
        <f aca="false">IF(B53="","",ROW()-11)</f>
        <v/>
      </c>
      <c r="B53" s="15"/>
      <c r="C53" s="22"/>
      <c r="D53" s="22"/>
      <c r="E53" s="22"/>
      <c r="F53" s="22"/>
      <c r="G53" s="17" t="str">
        <f aca="false">IF(B53="","",SUM(H53:L53))</f>
        <v/>
      </c>
      <c r="H53" s="18"/>
      <c r="I53" s="18"/>
      <c r="J53" s="17" t="str">
        <f aca="false">IF(I53="","",ROUND(I53*$L$4,2))</f>
        <v/>
      </c>
      <c r="K53" s="18"/>
      <c r="L53" s="17" t="str">
        <f aca="false">IF(K53="","",ROUND(K53*$L$5,2))</f>
        <v/>
      </c>
      <c r="M53" s="18"/>
    </row>
    <row r="54" customFormat="false" ht="15" hidden="false" customHeight="false" outlineLevel="0" collapsed="false">
      <c r="A54" s="14" t="str">
        <f aca="false">IF(B54="","",ROW()-11)</f>
        <v/>
      </c>
      <c r="B54" s="15"/>
      <c r="C54" s="22"/>
      <c r="D54" s="22"/>
      <c r="E54" s="22"/>
      <c r="F54" s="22"/>
      <c r="G54" s="17" t="str">
        <f aca="false">IF(B54="","",SUM(H54:L54))</f>
        <v/>
      </c>
      <c r="H54" s="18"/>
      <c r="I54" s="18"/>
      <c r="J54" s="17" t="str">
        <f aca="false">IF(I54="","",ROUND(I54*$L$4,2))</f>
        <v/>
      </c>
      <c r="K54" s="18"/>
      <c r="L54" s="17" t="str">
        <f aca="false">IF(K54="","",ROUND(K54*$L$5,2))</f>
        <v/>
      </c>
      <c r="M54" s="18"/>
    </row>
    <row r="55" customFormat="false" ht="15" hidden="false" customHeight="false" outlineLevel="0" collapsed="false">
      <c r="A55" s="14" t="str">
        <f aca="false">IF(B55="","",ROW()-11)</f>
        <v/>
      </c>
      <c r="B55" s="15"/>
      <c r="C55" s="22"/>
      <c r="D55" s="22"/>
      <c r="E55" s="22"/>
      <c r="F55" s="22"/>
      <c r="G55" s="17" t="str">
        <f aca="false">IF(B55="","",SUM(H55:L55))</f>
        <v/>
      </c>
      <c r="H55" s="18"/>
      <c r="I55" s="18"/>
      <c r="J55" s="17" t="str">
        <f aca="false">IF(I55="","",ROUND(I55*$L$4,2))</f>
        <v/>
      </c>
      <c r="K55" s="18"/>
      <c r="L55" s="17" t="str">
        <f aca="false">IF(K55="","",ROUND(K55*$L$5,2))</f>
        <v/>
      </c>
      <c r="M55" s="18"/>
    </row>
    <row r="56" customFormat="false" ht="15" hidden="false" customHeight="false" outlineLevel="0" collapsed="false">
      <c r="A56" s="14" t="str">
        <f aca="false">IF(B56="","",ROW()-11)</f>
        <v/>
      </c>
      <c r="B56" s="15"/>
      <c r="C56" s="22"/>
      <c r="D56" s="22"/>
      <c r="E56" s="22"/>
      <c r="F56" s="22"/>
      <c r="G56" s="17" t="str">
        <f aca="false">IF(B56="","",SUM(H56:L56))</f>
        <v/>
      </c>
      <c r="H56" s="18"/>
      <c r="I56" s="18"/>
      <c r="J56" s="17" t="str">
        <f aca="false">IF(I56="","",ROUND(I56*$L$4,2))</f>
        <v/>
      </c>
      <c r="K56" s="18"/>
      <c r="L56" s="17" t="str">
        <f aca="false">IF(K56="","",ROUND(K56*$L$5,2))</f>
        <v/>
      </c>
      <c r="M56" s="18"/>
    </row>
    <row r="57" customFormat="false" ht="15" hidden="false" customHeight="false" outlineLevel="0" collapsed="false">
      <c r="A57" s="14" t="str">
        <f aca="false">IF(B57="","",ROW()-11)</f>
        <v/>
      </c>
      <c r="B57" s="15"/>
      <c r="C57" s="22"/>
      <c r="D57" s="22"/>
      <c r="E57" s="22"/>
      <c r="F57" s="22"/>
      <c r="G57" s="17" t="str">
        <f aca="false">IF(B57="","",SUM(H57:L57))</f>
        <v/>
      </c>
      <c r="H57" s="18"/>
      <c r="I57" s="18"/>
      <c r="J57" s="17" t="str">
        <f aca="false">IF(I57="","",ROUND(I57*$L$4,2))</f>
        <v/>
      </c>
      <c r="K57" s="18"/>
      <c r="L57" s="17" t="str">
        <f aca="false">IF(K57="","",ROUND(K57*$L$5,2))</f>
        <v/>
      </c>
      <c r="M57" s="18"/>
    </row>
    <row r="58" customFormat="false" ht="15" hidden="false" customHeight="false" outlineLevel="0" collapsed="false">
      <c r="A58" s="14" t="str">
        <f aca="false">IF(B58="","",ROW()-11)</f>
        <v/>
      </c>
      <c r="B58" s="15"/>
      <c r="C58" s="22"/>
      <c r="D58" s="22"/>
      <c r="E58" s="22"/>
      <c r="F58" s="22"/>
      <c r="G58" s="17" t="str">
        <f aca="false">IF(B58="","",SUM(H58:L58))</f>
        <v/>
      </c>
      <c r="H58" s="18"/>
      <c r="I58" s="18"/>
      <c r="J58" s="17" t="str">
        <f aca="false">IF(I58="","",ROUND(I58*$L$4,2))</f>
        <v/>
      </c>
      <c r="K58" s="18"/>
      <c r="L58" s="17" t="str">
        <f aca="false">IF(K58="","",ROUND(K58*$L$5,2))</f>
        <v/>
      </c>
      <c r="M58" s="18"/>
    </row>
    <row r="59" customFormat="false" ht="15" hidden="false" customHeight="false" outlineLevel="0" collapsed="false">
      <c r="A59" s="14" t="str">
        <f aca="false">IF(B59="","",ROW()-11)</f>
        <v/>
      </c>
      <c r="B59" s="15"/>
      <c r="C59" s="22"/>
      <c r="D59" s="22"/>
      <c r="E59" s="22"/>
      <c r="F59" s="22"/>
      <c r="G59" s="17" t="str">
        <f aca="false">IF(B59="","",SUM(H59:L59))</f>
        <v/>
      </c>
      <c r="H59" s="18"/>
      <c r="I59" s="18"/>
      <c r="J59" s="17" t="str">
        <f aca="false">IF(I59="","",ROUND(I59*$L$4,2))</f>
        <v/>
      </c>
      <c r="K59" s="18"/>
      <c r="L59" s="17" t="str">
        <f aca="false">IF(K59="","",ROUND(K59*$L$5,2))</f>
        <v/>
      </c>
      <c r="M59" s="18"/>
    </row>
    <row r="60" customFormat="false" ht="15" hidden="false" customHeight="false" outlineLevel="0" collapsed="false">
      <c r="A60" s="14" t="str">
        <f aca="false">IF(B60="","",ROW()-11)</f>
        <v/>
      </c>
      <c r="B60" s="15"/>
      <c r="C60" s="22"/>
      <c r="D60" s="22"/>
      <c r="E60" s="22"/>
      <c r="F60" s="22"/>
      <c r="G60" s="17" t="str">
        <f aca="false">IF(B60="","",SUM(H60:L60))</f>
        <v/>
      </c>
      <c r="H60" s="18"/>
      <c r="I60" s="18"/>
      <c r="J60" s="17" t="str">
        <f aca="false">IF(I60="","",ROUND(I60*$L$4,2))</f>
        <v/>
      </c>
      <c r="K60" s="18"/>
      <c r="L60" s="17" t="str">
        <f aca="false">IF(K60="","",ROUND(K60*$L$5,2))</f>
        <v/>
      </c>
      <c r="M60" s="18"/>
    </row>
    <row r="61" customFormat="false" ht="15" hidden="false" customHeight="false" outlineLevel="0" collapsed="false">
      <c r="A61" s="14" t="str">
        <f aca="false">IF(B61="","",ROW()-11)</f>
        <v/>
      </c>
      <c r="B61" s="15"/>
      <c r="C61" s="22"/>
      <c r="D61" s="22"/>
      <c r="E61" s="22"/>
      <c r="F61" s="22"/>
      <c r="G61" s="17" t="str">
        <f aca="false">IF(B61="","",SUM(H61:L61))</f>
        <v/>
      </c>
      <c r="H61" s="18"/>
      <c r="I61" s="18"/>
      <c r="J61" s="17" t="str">
        <f aca="false">IF(I61="","",ROUND(I61*$L$4,2))</f>
        <v/>
      </c>
      <c r="K61" s="18"/>
      <c r="L61" s="17" t="str">
        <f aca="false">IF(K61="","",ROUND(K61*$L$5,2))</f>
        <v/>
      </c>
      <c r="M61" s="18"/>
    </row>
    <row r="62" customFormat="false" ht="15" hidden="false" customHeight="false" outlineLevel="0" collapsed="false">
      <c r="A62" s="14" t="str">
        <f aca="false">IF(B62="","",ROW()-11)</f>
        <v/>
      </c>
      <c r="B62" s="15"/>
      <c r="C62" s="22"/>
      <c r="D62" s="22"/>
      <c r="E62" s="22"/>
      <c r="F62" s="22"/>
      <c r="G62" s="17" t="str">
        <f aca="false">IF(B62="","",SUM(H62:L62))</f>
        <v/>
      </c>
      <c r="H62" s="18"/>
      <c r="I62" s="18"/>
      <c r="J62" s="17" t="str">
        <f aca="false">IF(I62="","",ROUND(I62*$L$4,2))</f>
        <v/>
      </c>
      <c r="K62" s="18"/>
      <c r="L62" s="17" t="str">
        <f aca="false">IF(K62="","",ROUND(K62*$L$5,2))</f>
        <v/>
      </c>
      <c r="M62" s="18"/>
    </row>
    <row r="63" customFormat="false" ht="15" hidden="false" customHeight="false" outlineLevel="0" collapsed="false">
      <c r="A63" s="14" t="str">
        <f aca="false">IF(B63="","",ROW()-11)</f>
        <v/>
      </c>
      <c r="B63" s="15"/>
      <c r="C63" s="22"/>
      <c r="D63" s="22"/>
      <c r="E63" s="22"/>
      <c r="F63" s="22"/>
      <c r="G63" s="17" t="str">
        <f aca="false">IF(B63="","",SUM(H63:L63))</f>
        <v/>
      </c>
      <c r="H63" s="18"/>
      <c r="I63" s="18"/>
      <c r="J63" s="17" t="str">
        <f aca="false">IF(I63="","",ROUND(I63*$L$4,2))</f>
        <v/>
      </c>
      <c r="K63" s="18"/>
      <c r="L63" s="17" t="str">
        <f aca="false">IF(K63="","",ROUND(K63*$L$5,2))</f>
        <v/>
      </c>
      <c r="M63" s="18"/>
    </row>
    <row r="64" customFormat="false" ht="15" hidden="false" customHeight="false" outlineLevel="0" collapsed="false">
      <c r="A64" s="14" t="str">
        <f aca="false">IF(B64="","",ROW()-11)</f>
        <v/>
      </c>
      <c r="B64" s="15"/>
      <c r="C64" s="22"/>
      <c r="D64" s="22"/>
      <c r="E64" s="22"/>
      <c r="F64" s="22"/>
      <c r="G64" s="17" t="str">
        <f aca="false">IF(B64="","",SUM(H64:L64))</f>
        <v/>
      </c>
      <c r="H64" s="18"/>
      <c r="I64" s="18"/>
      <c r="J64" s="17" t="str">
        <f aca="false">IF(I64="","",ROUND(I64*$L$4,2))</f>
        <v/>
      </c>
      <c r="K64" s="18"/>
      <c r="L64" s="17" t="str">
        <f aca="false">IF(K64="","",ROUND(K64*$L$5,2))</f>
        <v/>
      </c>
      <c r="M64" s="18"/>
    </row>
    <row r="65" customFormat="false" ht="15" hidden="false" customHeight="false" outlineLevel="0" collapsed="false">
      <c r="A65" s="14" t="str">
        <f aca="false">IF(B65="","",ROW()-11)</f>
        <v/>
      </c>
      <c r="B65" s="15"/>
      <c r="C65" s="22"/>
      <c r="D65" s="22"/>
      <c r="E65" s="22"/>
      <c r="F65" s="22"/>
      <c r="G65" s="17" t="str">
        <f aca="false">IF(B65="","",SUM(H65:L65))</f>
        <v/>
      </c>
      <c r="H65" s="18"/>
      <c r="I65" s="18"/>
      <c r="J65" s="17" t="str">
        <f aca="false">IF(I65="","",ROUND(I65*$L$4,2))</f>
        <v/>
      </c>
      <c r="K65" s="18"/>
      <c r="L65" s="17" t="str">
        <f aca="false">IF(K65="","",ROUND(K65*$L$5,2))</f>
        <v/>
      </c>
      <c r="M65" s="18"/>
    </row>
    <row r="66" customFormat="false" ht="15" hidden="false" customHeight="false" outlineLevel="0" collapsed="false">
      <c r="A66" s="14" t="str">
        <f aca="false">IF(B66="","",ROW()-11)</f>
        <v/>
      </c>
      <c r="B66" s="15"/>
      <c r="C66" s="22"/>
      <c r="D66" s="22"/>
      <c r="E66" s="22"/>
      <c r="F66" s="22"/>
      <c r="G66" s="17" t="str">
        <f aca="false">IF(B66="","",SUM(H66:L66))</f>
        <v/>
      </c>
      <c r="H66" s="18"/>
      <c r="I66" s="18"/>
      <c r="J66" s="17" t="str">
        <f aca="false">IF(I66="","",ROUND(I66*$L$4,2))</f>
        <v/>
      </c>
      <c r="K66" s="18"/>
      <c r="L66" s="17" t="str">
        <f aca="false">IF(K66="","",ROUND(K66*$L$5,2))</f>
        <v/>
      </c>
      <c r="M66" s="18"/>
    </row>
    <row r="67" customFormat="false" ht="15" hidden="false" customHeight="false" outlineLevel="0" collapsed="false">
      <c r="A67" s="14" t="str">
        <f aca="false">IF(B67="","",ROW()-11)</f>
        <v/>
      </c>
      <c r="B67" s="15"/>
      <c r="C67" s="22"/>
      <c r="D67" s="22"/>
      <c r="E67" s="22"/>
      <c r="F67" s="22"/>
      <c r="G67" s="17" t="str">
        <f aca="false">IF(B67="","",SUM(H67:L67))</f>
        <v/>
      </c>
      <c r="H67" s="18"/>
      <c r="I67" s="18"/>
      <c r="J67" s="17" t="str">
        <f aca="false">IF(I67="","",ROUND(I67*$L$4,2))</f>
        <v/>
      </c>
      <c r="K67" s="18"/>
      <c r="L67" s="17" t="str">
        <f aca="false">IF(K67="","",ROUND(K67*$L$5,2))</f>
        <v/>
      </c>
      <c r="M67" s="18"/>
    </row>
    <row r="68" customFormat="false" ht="15" hidden="false" customHeight="false" outlineLevel="0" collapsed="false">
      <c r="A68" s="14" t="str">
        <f aca="false">IF(B68="","",ROW()-11)</f>
        <v/>
      </c>
      <c r="B68" s="15"/>
      <c r="C68" s="22"/>
      <c r="D68" s="22"/>
      <c r="E68" s="22"/>
      <c r="F68" s="22"/>
      <c r="G68" s="17" t="str">
        <f aca="false">IF(B68="","",SUM(H68:L68))</f>
        <v/>
      </c>
      <c r="H68" s="18"/>
      <c r="I68" s="18"/>
      <c r="J68" s="17" t="str">
        <f aca="false">IF(I68="","",ROUND(I68*$L$4,2))</f>
        <v/>
      </c>
      <c r="K68" s="18"/>
      <c r="L68" s="17" t="str">
        <f aca="false">IF(K68="","",ROUND(K68*$L$5,2))</f>
        <v/>
      </c>
      <c r="M68" s="18"/>
    </row>
    <row r="69" customFormat="false" ht="15" hidden="false" customHeight="false" outlineLevel="0" collapsed="false">
      <c r="A69" s="14" t="str">
        <f aca="false">IF(B69="","",ROW()-11)</f>
        <v/>
      </c>
      <c r="B69" s="15"/>
      <c r="C69" s="22"/>
      <c r="D69" s="22"/>
      <c r="E69" s="22"/>
      <c r="F69" s="22"/>
      <c r="G69" s="17" t="str">
        <f aca="false">IF(B69="","",SUM(H69:L69))</f>
        <v/>
      </c>
      <c r="H69" s="18"/>
      <c r="I69" s="18"/>
      <c r="J69" s="17" t="str">
        <f aca="false">IF(I69="","",ROUND(I69*$L$4,2))</f>
        <v/>
      </c>
      <c r="K69" s="18"/>
      <c r="L69" s="17" t="str">
        <f aca="false">IF(K69="","",ROUND(K69*$L$5,2))</f>
        <v/>
      </c>
      <c r="M69" s="18"/>
    </row>
    <row r="70" customFormat="false" ht="15" hidden="false" customHeight="false" outlineLevel="0" collapsed="false">
      <c r="A70" s="14" t="str">
        <f aca="false">IF(B70="","",ROW()-11)</f>
        <v/>
      </c>
      <c r="B70" s="15"/>
      <c r="C70" s="22"/>
      <c r="D70" s="22"/>
      <c r="E70" s="22"/>
      <c r="F70" s="22"/>
      <c r="G70" s="17" t="str">
        <f aca="false">IF(B70="","",SUM(H70:L70))</f>
        <v/>
      </c>
      <c r="H70" s="18"/>
      <c r="I70" s="18"/>
      <c r="J70" s="17" t="str">
        <f aca="false">IF(I70="","",ROUND(I70*$L$4,2))</f>
        <v/>
      </c>
      <c r="K70" s="18"/>
      <c r="L70" s="17" t="str">
        <f aca="false">IF(K70="","",ROUND(K70*$L$5,2))</f>
        <v/>
      </c>
      <c r="M70" s="18"/>
    </row>
    <row r="71" customFormat="false" ht="15" hidden="false" customHeight="false" outlineLevel="0" collapsed="false">
      <c r="A71" s="14" t="str">
        <f aca="false">IF(B71="","",ROW()-11)</f>
        <v/>
      </c>
      <c r="B71" s="15"/>
      <c r="C71" s="22"/>
      <c r="D71" s="22"/>
      <c r="E71" s="22"/>
      <c r="F71" s="22"/>
      <c r="G71" s="17" t="str">
        <f aca="false">IF(B71="","",SUM(H71:L71))</f>
        <v/>
      </c>
      <c r="H71" s="18"/>
      <c r="I71" s="18"/>
      <c r="J71" s="17" t="str">
        <f aca="false">IF(I71="","",ROUND(I71*$L$4,2))</f>
        <v/>
      </c>
      <c r="K71" s="18"/>
      <c r="L71" s="17" t="str">
        <f aca="false">IF(K71="","",ROUND(K71*$L$5,2))</f>
        <v/>
      </c>
      <c r="M71" s="18"/>
    </row>
    <row r="72" customFormat="false" ht="15" hidden="false" customHeight="false" outlineLevel="0" collapsed="false">
      <c r="A72" s="14" t="str">
        <f aca="false">IF(B72="","",ROW()-11)</f>
        <v/>
      </c>
      <c r="B72" s="15"/>
      <c r="C72" s="22"/>
      <c r="D72" s="22"/>
      <c r="E72" s="22"/>
      <c r="F72" s="22"/>
      <c r="G72" s="17" t="str">
        <f aca="false">IF(B72="","",SUM(H72:L72))</f>
        <v/>
      </c>
      <c r="H72" s="18"/>
      <c r="I72" s="18"/>
      <c r="J72" s="17" t="str">
        <f aca="false">IF(I72="","",ROUND(I72*$L$4,2))</f>
        <v/>
      </c>
      <c r="K72" s="18"/>
      <c r="L72" s="17" t="str">
        <f aca="false">IF(K72="","",ROUND(K72*$L$5,2))</f>
        <v/>
      </c>
      <c r="M72" s="18"/>
    </row>
    <row r="73" customFormat="false" ht="15" hidden="false" customHeight="false" outlineLevel="0" collapsed="false">
      <c r="A73" s="14" t="str">
        <f aca="false">IF(B73="","",ROW()-11)</f>
        <v/>
      </c>
      <c r="B73" s="15"/>
      <c r="C73" s="22"/>
      <c r="D73" s="22"/>
      <c r="E73" s="22"/>
      <c r="F73" s="22"/>
      <c r="G73" s="17" t="str">
        <f aca="false">IF(B73="","",SUM(H73:L73))</f>
        <v/>
      </c>
      <c r="H73" s="18"/>
      <c r="I73" s="18"/>
      <c r="J73" s="17" t="str">
        <f aca="false">IF(I73="","",ROUND(I73*$L$4,2))</f>
        <v/>
      </c>
      <c r="K73" s="18"/>
      <c r="L73" s="17" t="str">
        <f aca="false">IF(K73="","",ROUND(K73*$L$5,2))</f>
        <v/>
      </c>
      <c r="M73" s="18"/>
    </row>
    <row r="74" customFormat="false" ht="15" hidden="false" customHeight="false" outlineLevel="0" collapsed="false">
      <c r="F74" s="3" t="s">
        <v>60</v>
      </c>
      <c r="G74" s="19" t="n">
        <f aca="false">SUM(G12:G73)</f>
        <v>3585259.85</v>
      </c>
      <c r="H74" s="19" t="n">
        <f aca="false">SUM(H12:H73)</f>
        <v>2765998.96</v>
      </c>
      <c r="I74" s="19" t="n">
        <f aca="false">SUM(I12:I73)</f>
        <v>706259.39</v>
      </c>
      <c r="J74" s="19" t="n">
        <f aca="false">SUM(J12:J73)</f>
        <v>113001.5</v>
      </c>
      <c r="K74" s="19" t="n">
        <f aca="false">SUM(K12:K73)</f>
        <v>0</v>
      </c>
      <c r="L74" s="19" t="n">
        <f aca="false">SUM(L12:L73)</f>
        <v>0</v>
      </c>
      <c r="M74" s="19" t="n">
        <f aca="false">SUM(M12:M73)</f>
        <v>0</v>
      </c>
    </row>
  </sheetData>
  <mergeCells count="1">
    <mergeCell ref="D9:M9"/>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4" min="2" style="0" width="20"/>
  </cols>
  <sheetData>
    <row r="1" customFormat="false" ht="17.35" hidden="false" customHeight="false" outlineLevel="0" collapsed="false">
      <c r="A1" s="1" t="s">
        <v>61</v>
      </c>
    </row>
    <row r="2" customFormat="false" ht="15" hidden="false" customHeight="false" outlineLevel="0" collapsed="false">
      <c r="A2" s="2" t="s">
        <v>62</v>
      </c>
    </row>
    <row r="4" customFormat="false" ht="15" hidden="false" customHeight="false" outlineLevel="0" collapsed="false">
      <c r="A4" s="23" t="s">
        <v>63</v>
      </c>
      <c r="B4" s="23" t="s">
        <v>64</v>
      </c>
      <c r="C4" s="23" t="s">
        <v>65</v>
      </c>
      <c r="D4" s="23" t="s">
        <v>66</v>
      </c>
    </row>
    <row r="5" customFormat="false" ht="15" hidden="false" customHeight="false" outlineLevel="0" collapsed="false">
      <c r="A5" s="14" t="s">
        <v>23</v>
      </c>
      <c r="B5" s="24" t="n">
        <f aca="false">Contribuyentes!J312</f>
        <v>12699.08</v>
      </c>
      <c r="C5" s="24" t="n">
        <f aca="false">'Máquina fiscal (Reporte Z)'!H74</f>
        <v>2765998.96</v>
      </c>
      <c r="D5" s="25" t="n">
        <f aca="false">B5+C5</f>
        <v>2778698.04</v>
      </c>
    </row>
    <row r="6" customFormat="false" ht="15" hidden="false" customHeight="false" outlineLevel="0" collapsed="false">
      <c r="A6" s="14" t="s">
        <v>24</v>
      </c>
      <c r="B6" s="24" t="n">
        <f aca="false">Contribuyentes!K312</f>
        <v>16782.18</v>
      </c>
      <c r="C6" s="24" t="n">
        <f aca="false">'Máquina fiscal (Reporte Z)'!I74</f>
        <v>706259.39</v>
      </c>
      <c r="D6" s="25" t="n">
        <f aca="false">B6+C6</f>
        <v>723041.57</v>
      </c>
    </row>
    <row r="7" customFormat="false" ht="15" hidden="false" customHeight="false" outlineLevel="0" collapsed="false">
      <c r="A7" s="14" t="s">
        <v>25</v>
      </c>
      <c r="B7" s="24" t="n">
        <f aca="false">Contribuyentes!L312</f>
        <v>2685.15</v>
      </c>
      <c r="C7" s="24" t="n">
        <f aca="false">'Máquina fiscal (Reporte Z)'!J74</f>
        <v>113001.5</v>
      </c>
      <c r="D7" s="25" t="n">
        <f aca="false">B7+C7</f>
        <v>115686.65</v>
      </c>
    </row>
    <row r="8" customFormat="false" ht="15" hidden="false" customHeight="false" outlineLevel="0" collapsed="false">
      <c r="A8" s="14" t="s">
        <v>26</v>
      </c>
      <c r="B8" s="24" t="n">
        <f aca="false">Contribuyentes!M312</f>
        <v>0</v>
      </c>
      <c r="C8" s="24" t="n">
        <f aca="false">'Máquina fiscal (Reporte Z)'!K74</f>
        <v>0</v>
      </c>
      <c r="D8" s="25" t="n">
        <f aca="false">B8+C8</f>
        <v>0</v>
      </c>
    </row>
    <row r="9" customFormat="false" ht="15" hidden="false" customHeight="false" outlineLevel="0" collapsed="false">
      <c r="A9" s="14" t="s">
        <v>27</v>
      </c>
      <c r="B9" s="24" t="n">
        <f aca="false">Contribuyentes!N312</f>
        <v>0</v>
      </c>
      <c r="C9" s="24" t="n">
        <f aca="false">'Máquina fiscal (Reporte Z)'!L74</f>
        <v>0</v>
      </c>
      <c r="D9" s="25" t="n">
        <f aca="false">B9+C9</f>
        <v>0</v>
      </c>
    </row>
    <row r="10" customFormat="false" ht="15" hidden="false" customHeight="false" outlineLevel="0" collapsed="false">
      <c r="A10" s="14" t="s">
        <v>22</v>
      </c>
      <c r="B10" s="24" t="n">
        <f aca="false">Contribuyentes!I312</f>
        <v>32166.41</v>
      </c>
      <c r="C10" s="24" t="n">
        <f aca="false">'Máquina fiscal (Reporte Z)'!G74</f>
        <v>3585259.85</v>
      </c>
      <c r="D10" s="25" t="n">
        <f aca="false">B10+C10</f>
        <v>3617426.26</v>
      </c>
    </row>
    <row r="11" customFormat="false" ht="15" hidden="false" customHeight="false" outlineLevel="0" collapsed="false">
      <c r="A11" s="14" t="s">
        <v>67</v>
      </c>
      <c r="B11" s="24" t="n">
        <f aca="false">Contribuyentes!O312</f>
        <v>0</v>
      </c>
      <c r="C11" s="17" t="n">
        <v>0</v>
      </c>
      <c r="D11" s="25" t="n">
        <f aca="false">B11+C11</f>
        <v>0</v>
      </c>
    </row>
    <row r="12" customFormat="false" ht="15" hidden="false" customHeight="false" outlineLevel="0" collapsed="false">
      <c r="A12" s="14" t="s">
        <v>68</v>
      </c>
      <c r="B12" s="24" t="n">
        <f aca="false">Contribuyentes!Q312</f>
        <v>0</v>
      </c>
      <c r="C12" s="24" t="n">
        <f aca="false">'Máquina fiscal (Reporte Z)'!M74</f>
        <v>0</v>
      </c>
      <c r="D12" s="25" t="n">
        <f aca="false">B12+C12</f>
        <v>0</v>
      </c>
    </row>
    <row r="14" customFormat="false" ht="15" hidden="false" customHeight="false" outlineLevel="0" collapsed="false">
      <c r="A14" s="3" t="s">
        <v>69</v>
      </c>
      <c r="D14" s="19" t="n">
        <f aca="false">D7+D9</f>
        <v>115686.65</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2026-10-27T12:26:28Z</dcterms:created>
  <dc:creator>openpyxl</dc:creator>
  <dc:description/>
  <dc:language>en-US</dc:language>
  <cp:lastModifiedBy/>
  <dcterms:modified xsi:type="dcterms:W3CDTF">2026-10-27T12:26:28Z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